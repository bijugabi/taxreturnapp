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ales" sheetId="1" state="visible" r:id="rId1"/>
    <sheet name="Purchases" sheetId="2" state="visible" r:id="rId2"/>
    <sheet name="ITSE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£&quot;#,##0.00"/>
    <numFmt numFmtId="165" formatCode="DD/MM/YYYY"/>
    <numFmt numFmtId="166" formatCode="yyyy-mm-dd h:mm:ss"/>
  </numFmts>
  <fonts count="10">
    <font>
      <name val="Arial"/>
      <color rgb="FF000000"/>
      <sz val="10"/>
      <scheme val="minor"/>
    </font>
    <font>
      <name val="Calibri"/>
      <b val="1"/>
      <color theme="1"/>
      <sz val="22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Overlock"/>
      <b val="1"/>
      <color rgb="FF808080"/>
      <sz val="16"/>
    </font>
    <font>
      <name val="Calibri"/>
      <color rgb="FF000000"/>
      <sz val="11"/>
    </font>
    <font>
      <name val="Calibri"/>
      <b val="1"/>
      <color theme="1"/>
      <sz val="16"/>
    </font>
    <font>
      <name val="Calibri"/>
      <b val="1"/>
      <color theme="1"/>
      <sz val="14"/>
    </font>
    <font/>
  </fonts>
  <fills count="2">
    <fill>
      <patternFill/>
    </fill>
    <fill>
      <patternFill patternType="lightGray"/>
    </fill>
  </fills>
  <borders count="7">
    <border/>
    <border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4" fontId="2" fillId="0" borderId="0" pivotButton="0" quotePrefix="0" xfId="0"/>
    <xf numFmtId="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4" fontId="2" fillId="0" borderId="0" pivotButton="0" quotePrefix="0" xfId="0"/>
    <xf numFmtId="4" fontId="5" fillId="0" borderId="0" applyAlignment="1" pivotButton="0" quotePrefix="0" xfId="0">
      <alignment horizontal="center" vertical="center"/>
    </xf>
    <xf numFmtId="4" fontId="3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7" fillId="0" borderId="0" pivotButton="0" quotePrefix="0" xfId="0"/>
    <xf numFmtId="164" fontId="8" fillId="0" borderId="2" applyAlignment="1" pivotButton="0" quotePrefix="0" xfId="0">
      <alignment horizontal="center"/>
    </xf>
    <xf numFmtId="0" fontId="9" fillId="0" borderId="3" pivotButton="0" quotePrefix="0" xfId="0"/>
    <xf numFmtId="4" fontId="3" fillId="0" borderId="0" applyAlignment="1" pivotButton="0" quotePrefix="0" xfId="0">
      <alignment horizontal="center"/>
    </xf>
    <xf numFmtId="4" fontId="2" fillId="0" borderId="4" pivotButton="0" quotePrefix="0" xfId="0"/>
    <xf numFmtId="4" fontId="2" fillId="0" borderId="5" pivotButton="0" quotePrefix="0" xfId="0"/>
    <xf numFmtId="4" fontId="2" fillId="0" borderId="1" pivotButton="0" quotePrefix="0" xfId="0"/>
    <xf numFmtId="0" fontId="0" fillId="0" borderId="0" pivotButton="0" quotePrefix="0" xfId="0"/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5" fontId="2" fillId="0" borderId="0" pivotButton="0" quotePrefix="0" xfId="0"/>
    <xf numFmtId="164" fontId="8" fillId="0" borderId="4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SALES</t>
        </is>
      </c>
    </row>
    <row r="2"/>
    <row r="3"/>
    <row r="4">
      <c r="A4" s="2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B5" s="23" t="n">
        <v>45749</v>
      </c>
      <c r="C5" s="2" t="inlineStr">
        <is>
          <t>Q2001</t>
        </is>
      </c>
      <c r="D5" s="2" t="inlineStr">
        <is>
          <t>Invoice for services in APR</t>
        </is>
      </c>
      <c r="E5" s="5" t="n">
        <v>1061.9</v>
      </c>
    </row>
    <row r="6">
      <c r="B6" s="23" t="n">
        <v>45749</v>
      </c>
      <c r="C6" s="2" t="inlineStr">
        <is>
          <t>Q2002</t>
        </is>
      </c>
      <c r="D6" s="2" t="inlineStr">
        <is>
          <t>Invoice for services in APR</t>
        </is>
      </c>
      <c r="E6" s="5" t="n">
        <v>3</v>
      </c>
    </row>
    <row r="7">
      <c r="B7" s="23" t="n">
        <v>45756</v>
      </c>
      <c r="C7" s="2" t="inlineStr">
        <is>
          <t>Q2003</t>
        </is>
      </c>
      <c r="D7" s="2" t="inlineStr">
        <is>
          <t>Invoice for services in APR</t>
        </is>
      </c>
      <c r="E7" s="5" t="n">
        <v>861.47</v>
      </c>
    </row>
    <row r="8">
      <c r="B8" s="23" t="n">
        <v>45763</v>
      </c>
      <c r="C8" s="2" t="inlineStr">
        <is>
          <t>Q2004</t>
        </is>
      </c>
      <c r="D8" s="2" t="inlineStr">
        <is>
          <t>Invoice for services in APR</t>
        </is>
      </c>
      <c r="E8" s="5" t="n">
        <v>903.6900000000001</v>
      </c>
    </row>
    <row r="9">
      <c r="B9" s="23" t="n">
        <v>45763</v>
      </c>
      <c r="C9" s="2" t="inlineStr">
        <is>
          <t>Q2005</t>
        </is>
      </c>
      <c r="D9" s="2" t="inlineStr">
        <is>
          <t>Invoice for services in APR</t>
        </is>
      </c>
      <c r="E9" s="5" t="n">
        <v>440</v>
      </c>
    </row>
    <row r="10">
      <c r="B10" s="23" t="n">
        <v>45769</v>
      </c>
      <c r="C10" s="2" t="inlineStr">
        <is>
          <t>Q2006</t>
        </is>
      </c>
      <c r="D10" s="2" t="inlineStr">
        <is>
          <t>Invoice for services in APR</t>
        </is>
      </c>
      <c r="E10" s="5" t="n">
        <v>6</v>
      </c>
    </row>
    <row r="11">
      <c r="B11" s="23" t="n">
        <v>45769</v>
      </c>
      <c r="C11" s="2" t="inlineStr">
        <is>
          <t>Q2007</t>
        </is>
      </c>
      <c r="D11" s="2" t="inlineStr">
        <is>
          <t>Invoice for services in APR</t>
        </is>
      </c>
      <c r="E11" s="5" t="n">
        <v>13.23</v>
      </c>
    </row>
    <row r="12">
      <c r="B12" s="23" t="n">
        <v>45770</v>
      </c>
      <c r="C12" s="2" t="inlineStr">
        <is>
          <t>Q2008</t>
        </is>
      </c>
      <c r="D12" s="2" t="inlineStr">
        <is>
          <t>Invoice for services in APR</t>
        </is>
      </c>
      <c r="E12" s="5" t="n">
        <v>5431.12</v>
      </c>
    </row>
    <row r="13">
      <c r="B13" s="23" t="n">
        <v>45771</v>
      </c>
      <c r="C13" s="2" t="inlineStr">
        <is>
          <t>Q2009</t>
        </is>
      </c>
      <c r="D13" s="2" t="inlineStr">
        <is>
          <t>Invoice for services in APR</t>
        </is>
      </c>
      <c r="E13" s="5" t="n">
        <v>624</v>
      </c>
    </row>
    <row r="14">
      <c r="B14" s="23" t="n">
        <v>45771</v>
      </c>
      <c r="C14" s="2" t="inlineStr">
        <is>
          <t>Q2010</t>
        </is>
      </c>
      <c r="D14" s="2" t="inlineStr">
        <is>
          <t>Invoice for services in APR</t>
        </is>
      </c>
      <c r="E14" s="5" t="n">
        <v>1100</v>
      </c>
    </row>
    <row r="15">
      <c r="B15" s="24" t="n">
        <v>45777</v>
      </c>
      <c r="C15" t="inlineStr">
        <is>
          <t>Q2011</t>
        </is>
      </c>
      <c r="D15" t="inlineStr">
        <is>
          <t>Invoice for services in APR</t>
        </is>
      </c>
      <c r="E15" t="n">
        <v>656</v>
      </c>
    </row>
    <row r="16">
      <c r="B16" s="24" t="n">
        <v>45784</v>
      </c>
      <c r="C16" t="inlineStr">
        <is>
          <t>Q2012</t>
        </is>
      </c>
      <c r="D16" t="inlineStr">
        <is>
          <t>Invoice for services in MAY</t>
        </is>
      </c>
      <c r="E16" t="n">
        <v>784</v>
      </c>
    </row>
    <row r="17">
      <c r="B17" s="24" t="n">
        <v>45791</v>
      </c>
      <c r="C17" t="inlineStr">
        <is>
          <t>Q2013</t>
        </is>
      </c>
      <c r="D17" t="inlineStr">
        <is>
          <t>Invoice for services in MAY</t>
        </is>
      </c>
      <c r="E17" t="n">
        <v>146.48</v>
      </c>
    </row>
    <row r="18">
      <c r="B18" s="24" t="n">
        <v>45791</v>
      </c>
      <c r="C18" t="inlineStr">
        <is>
          <t>Q2014</t>
        </is>
      </c>
      <c r="D18" t="inlineStr">
        <is>
          <t>Invoice for services in MAY</t>
        </is>
      </c>
      <c r="E18" t="n">
        <v>724</v>
      </c>
    </row>
    <row r="19">
      <c r="B19" s="24" t="n">
        <v>45798</v>
      </c>
      <c r="C19" t="inlineStr">
        <is>
          <t>Q2015</t>
        </is>
      </c>
      <c r="D19" t="inlineStr">
        <is>
          <t>Invoice for services in MAY</t>
        </is>
      </c>
      <c r="E19" t="n">
        <v>1148</v>
      </c>
    </row>
    <row r="20">
      <c r="B20" s="24" t="n">
        <v>45799</v>
      </c>
      <c r="C20" t="inlineStr">
        <is>
          <t>Q2016</t>
        </is>
      </c>
      <c r="D20" t="inlineStr">
        <is>
          <t>Invoice for services in MAY</t>
        </is>
      </c>
      <c r="E20" t="n">
        <v>10</v>
      </c>
    </row>
    <row r="21">
      <c r="B21" s="24" t="n">
        <v>45805</v>
      </c>
      <c r="C21" t="inlineStr">
        <is>
          <t>Q2017</t>
        </is>
      </c>
      <c r="D21" t="inlineStr">
        <is>
          <t>Invoice for services in MAY</t>
        </is>
      </c>
      <c r="E21" t="n">
        <v>784</v>
      </c>
    </row>
    <row r="22">
      <c r="B22" s="24" t="n">
        <v>45811</v>
      </c>
      <c r="C22" t="inlineStr">
        <is>
          <t>Q2018</t>
        </is>
      </c>
      <c r="D22" t="inlineStr">
        <is>
          <t>Invoice for services in JUN</t>
        </is>
      </c>
      <c r="E22" t="n">
        <v>3</v>
      </c>
    </row>
    <row r="23">
      <c r="B23" s="24" t="n">
        <v>45812</v>
      </c>
      <c r="C23" t="inlineStr">
        <is>
          <t>Q2019</t>
        </is>
      </c>
      <c r="D23" t="inlineStr">
        <is>
          <t>Invoice for services in JUN</t>
        </is>
      </c>
      <c r="E23" t="n">
        <v>824</v>
      </c>
    </row>
    <row r="24">
      <c r="B24" s="24" t="n">
        <v>45817</v>
      </c>
      <c r="C24" t="inlineStr">
        <is>
          <t>Q2020</t>
        </is>
      </c>
      <c r="D24" t="inlineStr">
        <is>
          <t>Invoice for services in JUN</t>
        </is>
      </c>
      <c r="E24" t="n">
        <v>23.92</v>
      </c>
    </row>
    <row r="25">
      <c r="B25" s="24" t="n">
        <v>45818</v>
      </c>
      <c r="C25" t="inlineStr">
        <is>
          <t>Q2021</t>
        </is>
      </c>
      <c r="D25" t="inlineStr">
        <is>
          <t>Invoice for services in JUN</t>
        </is>
      </c>
      <c r="E25" t="n">
        <v>66</v>
      </c>
    </row>
    <row r="26">
      <c r="B26" s="24" t="n">
        <v>45819</v>
      </c>
      <c r="C26" t="inlineStr">
        <is>
          <t>Q2022</t>
        </is>
      </c>
      <c r="D26" t="inlineStr">
        <is>
          <t>Invoice for services in JUN</t>
        </is>
      </c>
      <c r="E26" t="n">
        <v>1076</v>
      </c>
    </row>
    <row r="27">
      <c r="B27" s="24" t="n">
        <v>45819</v>
      </c>
      <c r="C27" t="inlineStr">
        <is>
          <t>Q2023</t>
        </is>
      </c>
      <c r="D27" t="inlineStr">
        <is>
          <t>Invoice for services in JUN</t>
        </is>
      </c>
      <c r="E27" t="n">
        <v>14.75</v>
      </c>
    </row>
    <row r="28">
      <c r="B28" s="24" t="n">
        <v>45826</v>
      </c>
      <c r="C28" t="inlineStr">
        <is>
          <t>Q2024</t>
        </is>
      </c>
      <c r="D28" t="inlineStr">
        <is>
          <t>Invoice for services in JUN</t>
        </is>
      </c>
      <c r="E28" t="n">
        <v>77</v>
      </c>
    </row>
    <row r="29">
      <c r="B29" s="24" t="n">
        <v>45826</v>
      </c>
      <c r="C29" t="inlineStr">
        <is>
          <t>Q2025</t>
        </is>
      </c>
      <c r="D29" t="inlineStr">
        <is>
          <t>Invoice for services in JUN</t>
        </is>
      </c>
      <c r="E29" t="n">
        <v>1024</v>
      </c>
    </row>
    <row r="30">
      <c r="B30" s="24" t="n">
        <v>45826</v>
      </c>
      <c r="C30" t="inlineStr">
        <is>
          <t>Q2026</t>
        </is>
      </c>
      <c r="D30" t="inlineStr">
        <is>
          <t>Invoice for services in JUN</t>
        </is>
      </c>
      <c r="E30" t="n">
        <v>66</v>
      </c>
    </row>
    <row r="31">
      <c r="B31" s="24" t="n">
        <v>45831</v>
      </c>
      <c r="C31" t="inlineStr">
        <is>
          <t>Q2027</t>
        </is>
      </c>
      <c r="D31" t="inlineStr">
        <is>
          <t>Invoice for services in JUN</t>
        </is>
      </c>
      <c r="E31" t="n">
        <v>49</v>
      </c>
    </row>
    <row r="32">
      <c r="B32" s="24" t="n">
        <v>45831</v>
      </c>
      <c r="C32" t="inlineStr">
        <is>
          <t>Q2028</t>
        </is>
      </c>
      <c r="D32" t="inlineStr">
        <is>
          <t>Invoice for services in JUN</t>
        </is>
      </c>
      <c r="E32" t="n">
        <v>22</v>
      </c>
    </row>
    <row r="33">
      <c r="B33" s="24" t="n">
        <v>45833</v>
      </c>
      <c r="C33" t="inlineStr">
        <is>
          <t>Q2029</t>
        </is>
      </c>
      <c r="D33" t="inlineStr">
        <is>
          <t>Invoice for services in JUN</t>
        </is>
      </c>
      <c r="E33" t="n">
        <v>1224</v>
      </c>
    </row>
    <row r="34">
      <c r="B34" s="24" t="n">
        <v>45833</v>
      </c>
      <c r="C34" t="inlineStr">
        <is>
          <t>Q2030</t>
        </is>
      </c>
      <c r="D34" t="inlineStr">
        <is>
          <t>Invoice for services in JUN</t>
        </is>
      </c>
      <c r="E34" t="n">
        <v>600</v>
      </c>
    </row>
    <row r="35">
      <c r="E35" s="6">
        <f>SUM(E5:E34)</f>
        <v/>
      </c>
    </row>
    <row r="36"/>
    <row r="37"/>
    <row r="38"/>
    <row r="39">
      <c r="B39" s="7" t="inlineStr">
        <is>
          <t>Profit for Q2:</t>
        </is>
      </c>
      <c r="D39" s="2" t="inlineStr">
        <is>
          <t>Sales</t>
        </is>
      </c>
      <c r="E39" s="5">
        <f>E35</f>
        <v/>
      </c>
    </row>
    <row r="40">
      <c r="D40" s="2" t="inlineStr">
        <is>
          <t>Purchases</t>
        </is>
      </c>
      <c r="E40" s="5">
        <f>-Purchases!E108</f>
        <v/>
      </c>
    </row>
    <row r="41"/>
    <row r="42">
      <c r="D42" s="8" t="inlineStr">
        <is>
          <t>Profit for Q2:</t>
        </is>
      </c>
      <c r="E42" s="6">
        <f>E35-'Purchases'!E108</f>
        <v/>
      </c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Z108"/>
  <sheetViews>
    <sheetView workbookViewId="0">
      <selection activeCell="A1" sqref="A1"/>
    </sheetView>
  </sheetViews>
  <sheetFormatPr baseColWidth="8" defaultColWidth="12.63" defaultRowHeight="15.75" customHeight="1"/>
  <cols>
    <col width="7.75" customWidth="1" style="22" min="1" max="1"/>
    <col width="9.380000000000001" customWidth="1" style="22" min="2" max="2"/>
    <col width="7.75" customWidth="1" style="22" min="3" max="3"/>
    <col width="30.88" customWidth="1" style="22" min="4" max="4"/>
    <col width="7.75" customWidth="1" style="22" min="5" max="26"/>
  </cols>
  <sheetData>
    <row r="1">
      <c r="B1" s="1" t="inlineStr">
        <is>
          <t>PURCHASES</t>
        </is>
      </c>
    </row>
    <row r="2"/>
    <row r="3"/>
    <row r="4">
      <c r="A4" s="3" t="n"/>
      <c r="B4" s="3" t="inlineStr">
        <is>
          <t>Date</t>
        </is>
      </c>
      <c r="C4" s="3" t="inlineStr">
        <is>
          <t>Inv #</t>
        </is>
      </c>
      <c r="D4" s="3" t="inlineStr">
        <is>
          <t>Narrative</t>
        </is>
      </c>
      <c r="E4" s="3" t="inlineStr">
        <is>
          <t>£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B5" s="23" t="n">
        <v>45749</v>
      </c>
      <c r="C5" s="2" t="inlineStr">
        <is>
          <t>Q2001</t>
        </is>
      </c>
      <c r="D5" s="2" t="inlineStr">
        <is>
          <t>Invoice for services in APR</t>
        </is>
      </c>
      <c r="E5" s="5" t="n">
        <v>408</v>
      </c>
    </row>
    <row r="6">
      <c r="B6" s="23" t="n">
        <v>45749</v>
      </c>
      <c r="C6" s="2" t="inlineStr">
        <is>
          <t>Q2002</t>
        </is>
      </c>
      <c r="D6" s="2" t="inlineStr">
        <is>
          <t>Invoice for services in APR</t>
        </is>
      </c>
      <c r="E6" s="5" t="n">
        <v>3</v>
      </c>
    </row>
    <row r="7">
      <c r="B7" s="23" t="n">
        <v>45749</v>
      </c>
      <c r="C7" s="2" t="inlineStr">
        <is>
          <t>Q2003</t>
        </is>
      </c>
      <c r="D7" s="2" t="inlineStr">
        <is>
          <t>Invoice for services in APR</t>
        </is>
      </c>
      <c r="E7" s="5" t="n">
        <v>80</v>
      </c>
    </row>
    <row r="8">
      <c r="B8" s="25" t="n">
        <v>45749</v>
      </c>
      <c r="C8" t="inlineStr">
        <is>
          <t>Q2004</t>
        </is>
      </c>
      <c r="D8" t="inlineStr">
        <is>
          <t>Invoice for services in APR</t>
        </is>
      </c>
      <c r="E8" s="5" t="n">
        <v>2</v>
      </c>
    </row>
    <row r="9">
      <c r="B9" s="24" t="n">
        <v>45749</v>
      </c>
      <c r="C9" t="inlineStr">
        <is>
          <t>Q2005</t>
        </is>
      </c>
      <c r="D9" t="inlineStr">
        <is>
          <t>Invoice for services in APR</t>
        </is>
      </c>
      <c r="E9" t="n">
        <v>562</v>
      </c>
    </row>
    <row r="10">
      <c r="B10" s="24" t="n">
        <v>45751</v>
      </c>
      <c r="C10" t="inlineStr">
        <is>
          <t>Q2006</t>
        </is>
      </c>
      <c r="D10" t="inlineStr">
        <is>
          <t>Invoice for services in APR</t>
        </is>
      </c>
      <c r="E10" t="n">
        <v>35.4</v>
      </c>
    </row>
    <row r="11">
      <c r="B11" s="24" t="n">
        <v>45754</v>
      </c>
      <c r="C11" t="inlineStr">
        <is>
          <t>Q2007</t>
        </is>
      </c>
      <c r="D11" t="inlineStr">
        <is>
          <t>Invoice for services in APR</t>
        </is>
      </c>
      <c r="E11" t="n">
        <v>4</v>
      </c>
    </row>
    <row r="12">
      <c r="B12" s="24" t="n">
        <v>45756</v>
      </c>
      <c r="C12" t="inlineStr">
        <is>
          <t>Q2008</t>
        </is>
      </c>
      <c r="D12" t="inlineStr">
        <is>
          <t>Invoice for services in APR</t>
        </is>
      </c>
      <c r="E12" t="n">
        <v>820</v>
      </c>
    </row>
    <row r="13">
      <c r="B13" s="24" t="n">
        <v>45758</v>
      </c>
      <c r="C13" t="inlineStr">
        <is>
          <t>Q2009</t>
        </is>
      </c>
      <c r="D13" t="inlineStr">
        <is>
          <t>Invoice for services in APR</t>
        </is>
      </c>
      <c r="E13" t="n">
        <v>35.4</v>
      </c>
    </row>
    <row r="14">
      <c r="B14" s="24" t="n">
        <v>45761</v>
      </c>
      <c r="C14" t="inlineStr">
        <is>
          <t>Q2010</t>
        </is>
      </c>
      <c r="D14" t="inlineStr">
        <is>
          <t>Invoice for services in APR</t>
        </is>
      </c>
      <c r="E14" t="n">
        <v>5.99</v>
      </c>
    </row>
    <row r="15">
      <c r="B15" s="24" t="n">
        <v>45763</v>
      </c>
      <c r="C15" t="inlineStr">
        <is>
          <t>Q2011</t>
        </is>
      </c>
      <c r="D15" t="inlineStr">
        <is>
          <t>Invoice for services in APR</t>
        </is>
      </c>
      <c r="E15" t="n">
        <v>904</v>
      </c>
    </row>
    <row r="16">
      <c r="B16" s="24" t="n">
        <v>45764</v>
      </c>
      <c r="C16" t="inlineStr">
        <is>
          <t>Q2012</t>
        </is>
      </c>
      <c r="D16" t="inlineStr">
        <is>
          <t>Invoice for services in APR</t>
        </is>
      </c>
      <c r="E16" t="n">
        <v>293</v>
      </c>
    </row>
    <row r="17">
      <c r="B17" s="24" t="n">
        <v>45769</v>
      </c>
      <c r="C17" t="inlineStr">
        <is>
          <t>Q2013</t>
        </is>
      </c>
      <c r="D17" t="inlineStr">
        <is>
          <t>Invoice for services in APR</t>
        </is>
      </c>
      <c r="E17" t="n">
        <v>4.5</v>
      </c>
    </row>
    <row r="18">
      <c r="B18" s="24" t="n">
        <v>45769</v>
      </c>
      <c r="C18" t="inlineStr">
        <is>
          <t>Q2014</t>
        </is>
      </c>
      <c r="D18" t="inlineStr">
        <is>
          <t>Invoice for services in APR</t>
        </is>
      </c>
      <c r="E18" t="n">
        <v>4.95</v>
      </c>
    </row>
    <row r="19">
      <c r="B19" s="24" t="n">
        <v>45769</v>
      </c>
      <c r="C19" t="inlineStr">
        <is>
          <t>Q2015</t>
        </is>
      </c>
      <c r="D19" t="inlineStr">
        <is>
          <t>Invoice for services in APR</t>
        </is>
      </c>
      <c r="E19" t="n">
        <v>14</v>
      </c>
    </row>
    <row r="20">
      <c r="B20" s="24" t="n">
        <v>45769</v>
      </c>
      <c r="C20" t="inlineStr">
        <is>
          <t>Q2016</t>
        </is>
      </c>
      <c r="D20" t="inlineStr">
        <is>
          <t>Invoice for services in APR</t>
        </is>
      </c>
      <c r="E20" t="n">
        <v>38.18</v>
      </c>
    </row>
    <row r="21">
      <c r="B21" s="24" t="n">
        <v>45769</v>
      </c>
      <c r="C21" t="inlineStr">
        <is>
          <t>Q2017</t>
        </is>
      </c>
      <c r="D21" t="inlineStr">
        <is>
          <t>Invoice for services in APR</t>
        </is>
      </c>
      <c r="E21" t="n">
        <v>54.1</v>
      </c>
    </row>
    <row r="22">
      <c r="B22" s="24" t="n">
        <v>45769</v>
      </c>
      <c r="C22" t="inlineStr">
        <is>
          <t>Q2018</t>
        </is>
      </c>
      <c r="D22" t="inlineStr">
        <is>
          <t>Invoice for services in APR</t>
        </is>
      </c>
      <c r="E22" t="n">
        <v>35.4</v>
      </c>
    </row>
    <row r="23">
      <c r="B23" s="24" t="n">
        <v>45770</v>
      </c>
      <c r="C23" t="inlineStr">
        <is>
          <t>Q2019</t>
        </is>
      </c>
      <c r="D23" t="inlineStr">
        <is>
          <t>Invoice for services in APR</t>
        </is>
      </c>
      <c r="E23" t="n">
        <v>5000</v>
      </c>
    </row>
    <row r="24">
      <c r="B24" s="24" t="n">
        <v>45770</v>
      </c>
      <c r="C24" t="inlineStr">
        <is>
          <t>Q2020</t>
        </is>
      </c>
      <c r="D24" t="inlineStr">
        <is>
          <t>Invoice for services in APR</t>
        </is>
      </c>
      <c r="E24" t="n">
        <v>300</v>
      </c>
    </row>
    <row r="25">
      <c r="B25" s="24" t="n">
        <v>45771</v>
      </c>
      <c r="C25" t="inlineStr">
        <is>
          <t>Q2021</t>
        </is>
      </c>
      <c r="D25" t="inlineStr">
        <is>
          <t>Invoice for services in APR</t>
        </is>
      </c>
      <c r="E25" t="n">
        <v>1400</v>
      </c>
    </row>
    <row r="26">
      <c r="B26" s="24" t="n">
        <v>45771</v>
      </c>
      <c r="C26" t="inlineStr">
        <is>
          <t>Q2022</t>
        </is>
      </c>
      <c r="D26" t="inlineStr">
        <is>
          <t>Invoice for services in APR</t>
        </is>
      </c>
      <c r="E26" t="n">
        <v>3.8</v>
      </c>
    </row>
    <row r="27">
      <c r="B27" s="24" t="n">
        <v>45772</v>
      </c>
      <c r="C27" t="inlineStr">
        <is>
          <t>Q2023</t>
        </is>
      </c>
      <c r="D27" t="inlineStr">
        <is>
          <t>Invoice for services in APR</t>
        </is>
      </c>
      <c r="E27" t="n">
        <v>35.4</v>
      </c>
    </row>
    <row r="28">
      <c r="B28" s="24" t="n">
        <v>45775</v>
      </c>
      <c r="C28" t="inlineStr">
        <is>
          <t>Q2024</t>
        </is>
      </c>
      <c r="D28" t="inlineStr">
        <is>
          <t>Invoice for services in APR</t>
        </is>
      </c>
      <c r="E28" t="n">
        <v>78.12</v>
      </c>
    </row>
    <row r="29">
      <c r="B29" s="24" t="n">
        <v>45775</v>
      </c>
      <c r="C29" t="inlineStr">
        <is>
          <t>Q2025</t>
        </is>
      </c>
      <c r="D29" t="inlineStr">
        <is>
          <t>Invoice for services in APR</t>
        </is>
      </c>
      <c r="E29" t="n">
        <v>275</v>
      </c>
    </row>
    <row r="30">
      <c r="B30" s="24" t="n">
        <v>45775</v>
      </c>
      <c r="C30" t="inlineStr">
        <is>
          <t>Q2026</t>
        </is>
      </c>
      <c r="D30" t="inlineStr">
        <is>
          <t>Invoice for services in APR</t>
        </is>
      </c>
      <c r="E30" t="n">
        <v>13.28</v>
      </c>
    </row>
    <row r="31">
      <c r="B31" s="24" t="n">
        <v>45775</v>
      </c>
      <c r="C31" t="inlineStr">
        <is>
          <t>Q2027</t>
        </is>
      </c>
      <c r="D31" t="inlineStr">
        <is>
          <t>Invoice for services in APR</t>
        </is>
      </c>
      <c r="E31" t="n">
        <v>17.98</v>
      </c>
    </row>
    <row r="32">
      <c r="B32" s="24" t="n">
        <v>45775</v>
      </c>
      <c r="C32" t="inlineStr">
        <is>
          <t>Q2028</t>
        </is>
      </c>
      <c r="D32" t="inlineStr">
        <is>
          <t>Invoice for services in APR</t>
        </is>
      </c>
      <c r="E32" t="n">
        <v>46.35</v>
      </c>
    </row>
    <row r="33">
      <c r="B33" s="24" t="n">
        <v>45777</v>
      </c>
      <c r="C33" t="inlineStr">
        <is>
          <t>Q2029</t>
        </is>
      </c>
      <c r="D33" t="inlineStr">
        <is>
          <t>Invoice for services in APR</t>
        </is>
      </c>
      <c r="E33" t="n">
        <v>123.67</v>
      </c>
    </row>
    <row r="34">
      <c r="B34" s="24" t="n">
        <v>45777</v>
      </c>
      <c r="C34" t="inlineStr">
        <is>
          <t>Q2030</t>
        </is>
      </c>
      <c r="D34" t="inlineStr">
        <is>
          <t>Invoice for services in APR</t>
        </is>
      </c>
      <c r="E34" t="n">
        <v>500</v>
      </c>
    </row>
    <row r="35">
      <c r="B35" s="24" t="n">
        <v>45785</v>
      </c>
      <c r="C35" t="inlineStr">
        <is>
          <t>Q2031</t>
        </is>
      </c>
      <c r="D35" t="inlineStr">
        <is>
          <t>Invoice for services in MAY</t>
        </is>
      </c>
      <c r="E35" t="n">
        <v>3.85</v>
      </c>
    </row>
    <row r="36">
      <c r="B36" s="24" t="n">
        <v>45792</v>
      </c>
      <c r="C36" t="inlineStr">
        <is>
          <t>Q2032</t>
        </is>
      </c>
      <c r="D36" t="inlineStr">
        <is>
          <t>Invoice for services in MAY</t>
        </is>
      </c>
      <c r="E36" t="n">
        <v>74.94</v>
      </c>
    </row>
    <row r="37">
      <c r="B37" s="24" t="n">
        <v>45792</v>
      </c>
      <c r="C37" t="inlineStr">
        <is>
          <t>Q2033</t>
        </is>
      </c>
      <c r="D37" t="inlineStr">
        <is>
          <t>Invoice for services in MAY</t>
        </is>
      </c>
      <c r="E37" t="n">
        <v>22.65</v>
      </c>
    </row>
    <row r="38">
      <c r="B38" s="24" t="n">
        <v>45793</v>
      </c>
      <c r="C38" t="inlineStr">
        <is>
          <t>Q2034</t>
        </is>
      </c>
      <c r="D38" t="inlineStr">
        <is>
          <t>Invoice for services in MAY</t>
        </is>
      </c>
      <c r="E38" t="n">
        <v>2.5</v>
      </c>
    </row>
    <row r="39">
      <c r="B39" s="24" t="n">
        <v>45793</v>
      </c>
      <c r="C39" t="inlineStr">
        <is>
          <t>Q2035</t>
        </is>
      </c>
      <c r="D39" t="inlineStr">
        <is>
          <t>Invoice for services in MAY</t>
        </is>
      </c>
      <c r="E39" t="n">
        <v>3.35</v>
      </c>
    </row>
    <row r="40">
      <c r="B40" s="24" t="n">
        <v>45793</v>
      </c>
      <c r="C40" t="inlineStr">
        <is>
          <t>Q2036</t>
        </is>
      </c>
      <c r="D40" t="inlineStr">
        <is>
          <t>Invoice for services in MAY</t>
        </is>
      </c>
      <c r="E40" t="n">
        <v>5.99</v>
      </c>
    </row>
    <row r="41">
      <c r="B41" s="24" t="n">
        <v>45793</v>
      </c>
      <c r="C41" t="inlineStr">
        <is>
          <t>Q2037</t>
        </is>
      </c>
      <c r="D41" t="inlineStr">
        <is>
          <t>Invoice for services in MAY</t>
        </is>
      </c>
      <c r="E41" t="n">
        <v>8.289999999999999</v>
      </c>
    </row>
    <row r="42">
      <c r="B42" s="24" t="n">
        <v>45793</v>
      </c>
      <c r="C42" t="inlineStr">
        <is>
          <t>Q2038</t>
        </is>
      </c>
      <c r="D42" t="inlineStr">
        <is>
          <t>Invoice for services in MAY</t>
        </is>
      </c>
      <c r="E42" t="n">
        <v>10.6</v>
      </c>
    </row>
    <row r="43">
      <c r="B43" s="24" t="n">
        <v>45796</v>
      </c>
      <c r="C43" t="inlineStr">
        <is>
          <t>Q2039</t>
        </is>
      </c>
      <c r="D43" t="inlineStr">
        <is>
          <t>Invoice for services in MAY</t>
        </is>
      </c>
      <c r="E43" t="n">
        <v>7.55</v>
      </c>
    </row>
    <row r="44">
      <c r="B44" s="24" t="n">
        <v>45796</v>
      </c>
      <c r="C44" t="inlineStr">
        <is>
          <t>Q2040</t>
        </is>
      </c>
      <c r="D44" t="inlineStr">
        <is>
          <t>Invoice for services in MAY</t>
        </is>
      </c>
      <c r="E44" t="n">
        <v>3.9</v>
      </c>
    </row>
    <row r="45">
      <c r="B45" s="24" t="n">
        <v>45796</v>
      </c>
      <c r="C45" t="inlineStr">
        <is>
          <t>Q2041</t>
        </is>
      </c>
      <c r="D45" t="inlineStr">
        <is>
          <t>Invoice for services in MAY</t>
        </is>
      </c>
      <c r="E45" t="n">
        <v>6.85</v>
      </c>
    </row>
    <row r="46">
      <c r="B46" s="24" t="n">
        <v>45796</v>
      </c>
      <c r="C46" t="inlineStr">
        <is>
          <t>Q2042</t>
        </is>
      </c>
      <c r="D46" t="inlineStr">
        <is>
          <t>Invoice for services in MAY</t>
        </is>
      </c>
      <c r="E46" t="n">
        <v>8.15</v>
      </c>
    </row>
    <row r="47">
      <c r="B47" s="24" t="n">
        <v>45799</v>
      </c>
      <c r="C47" t="inlineStr">
        <is>
          <t>Q2043</t>
        </is>
      </c>
      <c r="D47" t="inlineStr">
        <is>
          <t>Invoice for services in MAY</t>
        </is>
      </c>
      <c r="E47" t="n">
        <v>74.94</v>
      </c>
    </row>
    <row r="48">
      <c r="B48" s="24" t="n">
        <v>45806</v>
      </c>
      <c r="C48" t="inlineStr">
        <is>
          <t>Q2044</t>
        </is>
      </c>
      <c r="D48" t="inlineStr">
        <is>
          <t>Invoice for services in MAY</t>
        </is>
      </c>
      <c r="E48" t="n">
        <v>74.94</v>
      </c>
    </row>
    <row r="49">
      <c r="B49" s="24" t="n">
        <v>45811</v>
      </c>
      <c r="C49" t="inlineStr">
        <is>
          <t>Q2045</t>
        </is>
      </c>
      <c r="D49" t="inlineStr">
        <is>
          <t>Invoice for services in JUN</t>
        </is>
      </c>
      <c r="E49" t="n">
        <v>20</v>
      </c>
    </row>
    <row r="50">
      <c r="B50" s="24" t="n">
        <v>45811</v>
      </c>
      <c r="C50" t="inlineStr">
        <is>
          <t>Q2046</t>
        </is>
      </c>
      <c r="D50" t="inlineStr">
        <is>
          <t>Invoice for services in JUN</t>
        </is>
      </c>
      <c r="E50" t="n">
        <v>3</v>
      </c>
    </row>
    <row r="51">
      <c r="B51" s="24" t="n">
        <v>45812</v>
      </c>
      <c r="C51" t="inlineStr">
        <is>
          <t>Q2047</t>
        </is>
      </c>
      <c r="D51" t="inlineStr">
        <is>
          <t>Invoice for services in JUN</t>
        </is>
      </c>
      <c r="E51" t="n">
        <v>749</v>
      </c>
    </row>
    <row r="52">
      <c r="B52" s="24" t="n">
        <v>45813</v>
      </c>
      <c r="C52" t="inlineStr">
        <is>
          <t>Q2048</t>
        </is>
      </c>
      <c r="D52" t="inlineStr">
        <is>
          <t>Invoice for services in JUN</t>
        </is>
      </c>
      <c r="E52" t="n">
        <v>74.94</v>
      </c>
    </row>
    <row r="53">
      <c r="B53" s="24" t="n">
        <v>45818</v>
      </c>
      <c r="C53" t="inlineStr">
        <is>
          <t>Q2049</t>
        </is>
      </c>
      <c r="D53" t="inlineStr">
        <is>
          <t>Invoice for services in JUN</t>
        </is>
      </c>
      <c r="E53" t="n">
        <v>14.5</v>
      </c>
    </row>
    <row r="54">
      <c r="B54" s="24" t="n">
        <v>45819</v>
      </c>
      <c r="C54" t="inlineStr">
        <is>
          <t>Q2050</t>
        </is>
      </c>
      <c r="D54" t="inlineStr">
        <is>
          <t>Invoice for services in JUN</t>
        </is>
      </c>
      <c r="E54" t="n">
        <v>500</v>
      </c>
    </row>
    <row r="55">
      <c r="B55" s="24" t="n">
        <v>45819</v>
      </c>
      <c r="C55" t="inlineStr">
        <is>
          <t>Q2051</t>
        </is>
      </c>
      <c r="D55" t="inlineStr">
        <is>
          <t>Invoice for services in JUN</t>
        </is>
      </c>
      <c r="E55" t="n">
        <v>300</v>
      </c>
    </row>
    <row r="56">
      <c r="B56" s="24" t="n">
        <v>45820</v>
      </c>
      <c r="C56" t="inlineStr">
        <is>
          <t>Q2052</t>
        </is>
      </c>
      <c r="D56" t="inlineStr">
        <is>
          <t>Invoice for services in JUN</t>
        </is>
      </c>
      <c r="E56" t="n">
        <v>74.94</v>
      </c>
    </row>
    <row r="57">
      <c r="B57" s="24" t="n">
        <v>45820</v>
      </c>
      <c r="C57" t="inlineStr">
        <is>
          <t>Q2053</t>
        </is>
      </c>
      <c r="D57" t="inlineStr">
        <is>
          <t>Invoice for services in JUN</t>
        </is>
      </c>
      <c r="E57" t="n">
        <v>3</v>
      </c>
    </row>
    <row r="58">
      <c r="B58" s="24" t="n">
        <v>45820</v>
      </c>
      <c r="C58" t="inlineStr">
        <is>
          <t>Q2054</t>
        </is>
      </c>
      <c r="D58" t="inlineStr">
        <is>
          <t>Invoice for services in JUN</t>
        </is>
      </c>
      <c r="E58" t="n">
        <v>70</v>
      </c>
    </row>
    <row r="59">
      <c r="B59" s="24" t="n">
        <v>45820</v>
      </c>
      <c r="C59" t="inlineStr">
        <is>
          <t>Q2055</t>
        </is>
      </c>
      <c r="D59" t="inlineStr">
        <is>
          <t>Invoice for services in JUN</t>
        </is>
      </c>
      <c r="E59" t="n">
        <v>50</v>
      </c>
    </row>
    <row r="60">
      <c r="B60" s="24" t="n">
        <v>45821</v>
      </c>
      <c r="C60" t="inlineStr">
        <is>
          <t>Q2056</t>
        </is>
      </c>
      <c r="D60" t="inlineStr">
        <is>
          <t>Invoice for services in JUN</t>
        </is>
      </c>
      <c r="E60" t="n">
        <v>4.09</v>
      </c>
    </row>
    <row r="61">
      <c r="B61" s="24" t="n">
        <v>45821</v>
      </c>
      <c r="C61" t="inlineStr">
        <is>
          <t>Q2057</t>
        </is>
      </c>
      <c r="D61" t="inlineStr">
        <is>
          <t>Invoice for services in JUN</t>
        </is>
      </c>
      <c r="E61" t="n">
        <v>4.25</v>
      </c>
    </row>
    <row r="62">
      <c r="B62" s="24" t="n">
        <v>45821</v>
      </c>
      <c r="C62" t="inlineStr">
        <is>
          <t>Q2058</t>
        </is>
      </c>
      <c r="D62" t="inlineStr">
        <is>
          <t>Invoice for services in JUN</t>
        </is>
      </c>
      <c r="E62" t="n">
        <v>16.35</v>
      </c>
    </row>
    <row r="63">
      <c r="B63" s="24" t="n">
        <v>45821</v>
      </c>
      <c r="C63" t="inlineStr">
        <is>
          <t>Q2059</t>
        </is>
      </c>
      <c r="D63" t="inlineStr">
        <is>
          <t>Invoice for services in JUN</t>
        </is>
      </c>
      <c r="E63" t="n">
        <v>77</v>
      </c>
    </row>
    <row r="64">
      <c r="B64" s="24" t="n">
        <v>45824</v>
      </c>
      <c r="C64" t="inlineStr">
        <is>
          <t>Q2060</t>
        </is>
      </c>
      <c r="D64" t="inlineStr">
        <is>
          <t>Invoice for services in JUN</t>
        </is>
      </c>
      <c r="E64" t="n">
        <v>4.5</v>
      </c>
    </row>
    <row r="65">
      <c r="B65" s="24" t="n">
        <v>45824</v>
      </c>
      <c r="C65" t="inlineStr">
        <is>
          <t>Q2061</t>
        </is>
      </c>
      <c r="D65" t="inlineStr">
        <is>
          <t>Invoice for services in JUN</t>
        </is>
      </c>
      <c r="E65" t="n">
        <v>6.5</v>
      </c>
    </row>
    <row r="66">
      <c r="B66" s="24" t="n">
        <v>45824</v>
      </c>
      <c r="C66" t="inlineStr">
        <is>
          <t>Q2062</t>
        </is>
      </c>
      <c r="D66" t="inlineStr">
        <is>
          <t>Invoice for services in JUN</t>
        </is>
      </c>
      <c r="E66" t="n">
        <v>8</v>
      </c>
    </row>
    <row r="67">
      <c r="B67" s="24" t="n">
        <v>45824</v>
      </c>
      <c r="C67" t="inlineStr">
        <is>
          <t>Q2063</t>
        </is>
      </c>
      <c r="D67" t="inlineStr">
        <is>
          <t>Invoice for services in JUN</t>
        </is>
      </c>
      <c r="E67" t="n">
        <v>13.7</v>
      </c>
    </row>
    <row r="68">
      <c r="B68" s="24" t="n">
        <v>45824</v>
      </c>
      <c r="C68" t="inlineStr">
        <is>
          <t>Q2064</t>
        </is>
      </c>
      <c r="D68" t="inlineStr">
        <is>
          <t>Invoice for services in JUN</t>
        </is>
      </c>
      <c r="E68" t="n">
        <v>2.5</v>
      </c>
    </row>
    <row r="69">
      <c r="B69" s="24" t="n">
        <v>45824</v>
      </c>
      <c r="C69" t="inlineStr">
        <is>
          <t>Q2065</t>
        </is>
      </c>
      <c r="D69" t="inlineStr">
        <is>
          <t>Invoice for services in JUN</t>
        </is>
      </c>
      <c r="E69" t="n">
        <v>6.1</v>
      </c>
    </row>
    <row r="70">
      <c r="B70" s="24" t="n">
        <v>45824</v>
      </c>
      <c r="C70" t="inlineStr">
        <is>
          <t>Q2066</t>
        </is>
      </c>
      <c r="D70" t="inlineStr">
        <is>
          <t>Invoice for services in JUN</t>
        </is>
      </c>
      <c r="E70" t="n">
        <v>25</v>
      </c>
    </row>
    <row r="71">
      <c r="B71" s="24" t="n">
        <v>45826</v>
      </c>
      <c r="C71" t="inlineStr">
        <is>
          <t>Q2067</t>
        </is>
      </c>
      <c r="D71" t="inlineStr">
        <is>
          <t>Invoice for services in JUN</t>
        </is>
      </c>
      <c r="E71" t="n">
        <v>700</v>
      </c>
    </row>
    <row r="72">
      <c r="B72" s="24" t="n">
        <v>45826</v>
      </c>
      <c r="C72" t="inlineStr">
        <is>
          <t>Q2068</t>
        </is>
      </c>
      <c r="D72" t="inlineStr">
        <is>
          <t>Invoice for services in JUN</t>
        </is>
      </c>
      <c r="E72" t="n">
        <v>106</v>
      </c>
    </row>
    <row r="73">
      <c r="B73" s="24" t="n">
        <v>45826</v>
      </c>
      <c r="C73" t="inlineStr">
        <is>
          <t>Q2069</t>
        </is>
      </c>
      <c r="D73" t="inlineStr">
        <is>
          <t>Invoice for services in JUN</t>
        </is>
      </c>
      <c r="E73" t="n">
        <v>40</v>
      </c>
    </row>
    <row r="74">
      <c r="B74" s="24" t="n">
        <v>45827</v>
      </c>
      <c r="C74" t="inlineStr">
        <is>
          <t>Q2070</t>
        </is>
      </c>
      <c r="D74" t="inlineStr">
        <is>
          <t>Invoice for services in JUN</t>
        </is>
      </c>
      <c r="E74" t="n">
        <v>74.94</v>
      </c>
    </row>
    <row r="75">
      <c r="B75" s="24" t="n">
        <v>45827</v>
      </c>
      <c r="C75" t="inlineStr">
        <is>
          <t>Q2071</t>
        </is>
      </c>
      <c r="D75" t="inlineStr">
        <is>
          <t>Invoice for services in JUN</t>
        </is>
      </c>
      <c r="E75" t="n">
        <v>7.3</v>
      </c>
    </row>
    <row r="76">
      <c r="B76" s="24" t="n">
        <v>45827</v>
      </c>
      <c r="C76" t="inlineStr">
        <is>
          <t>Q2072</t>
        </is>
      </c>
      <c r="D76" t="inlineStr">
        <is>
          <t>Invoice for services in JUN</t>
        </is>
      </c>
      <c r="E76" t="n">
        <v>15.35</v>
      </c>
    </row>
    <row r="77">
      <c r="B77" s="24" t="n">
        <v>45827</v>
      </c>
      <c r="C77" t="inlineStr">
        <is>
          <t>Q2073</t>
        </is>
      </c>
      <c r="D77" t="inlineStr">
        <is>
          <t>Invoice for services in JUN</t>
        </is>
      </c>
      <c r="E77" t="n">
        <v>2.99</v>
      </c>
    </row>
    <row r="78">
      <c r="B78" s="24" t="n">
        <v>45828</v>
      </c>
      <c r="C78" t="inlineStr">
        <is>
          <t>Q2074</t>
        </is>
      </c>
      <c r="D78" t="inlineStr">
        <is>
          <t>Invoice for services in JUN</t>
        </is>
      </c>
      <c r="E78" t="n">
        <v>3.9</v>
      </c>
    </row>
    <row r="79">
      <c r="B79" s="24" t="n">
        <v>45828</v>
      </c>
      <c r="C79" t="inlineStr">
        <is>
          <t>Q2075</t>
        </is>
      </c>
      <c r="D79" t="inlineStr">
        <is>
          <t>Invoice for services in JUN</t>
        </is>
      </c>
      <c r="E79" t="n">
        <v>7.9</v>
      </c>
    </row>
    <row r="80">
      <c r="B80" s="24" t="n">
        <v>45828</v>
      </c>
      <c r="C80" t="inlineStr">
        <is>
          <t>Q2076</t>
        </is>
      </c>
      <c r="D80" t="inlineStr">
        <is>
          <t>Invoice for services in JUN</t>
        </is>
      </c>
      <c r="E80" t="n">
        <v>8.289999999999999</v>
      </c>
    </row>
    <row r="81">
      <c r="B81" s="24" t="n">
        <v>45828</v>
      </c>
      <c r="C81" t="inlineStr">
        <is>
          <t>Q2077</t>
        </is>
      </c>
      <c r="D81" t="inlineStr">
        <is>
          <t>Invoice for services in JUN</t>
        </is>
      </c>
      <c r="E81" t="n">
        <v>9.449999999999999</v>
      </c>
    </row>
    <row r="82">
      <c r="B82" s="24" t="n">
        <v>45828</v>
      </c>
      <c r="C82" t="inlineStr">
        <is>
          <t>Q2078</t>
        </is>
      </c>
      <c r="D82" t="inlineStr">
        <is>
          <t>Invoice for services in JUN</t>
        </is>
      </c>
      <c r="E82" t="n">
        <v>9.9</v>
      </c>
    </row>
    <row r="83">
      <c r="B83" s="24" t="n">
        <v>45831</v>
      </c>
      <c r="C83" t="inlineStr">
        <is>
          <t>Q2079</t>
        </is>
      </c>
      <c r="D83" t="inlineStr">
        <is>
          <t>Invoice for services in JUN</t>
        </is>
      </c>
      <c r="E83" t="n">
        <v>65</v>
      </c>
    </row>
    <row r="84">
      <c r="B84" s="24" t="n">
        <v>45831</v>
      </c>
      <c r="C84" t="inlineStr">
        <is>
          <t>Q2080</t>
        </is>
      </c>
      <c r="D84" t="inlineStr">
        <is>
          <t>Invoice for services in JUN</t>
        </is>
      </c>
      <c r="E84" t="n">
        <v>8.199999999999999</v>
      </c>
    </row>
    <row r="85">
      <c r="B85" s="24" t="n">
        <v>45831</v>
      </c>
      <c r="C85" t="inlineStr">
        <is>
          <t>Q2081</t>
        </is>
      </c>
      <c r="D85" t="inlineStr">
        <is>
          <t>Invoice for services in JUN</t>
        </is>
      </c>
      <c r="E85" t="n">
        <v>12.5</v>
      </c>
    </row>
    <row r="86">
      <c r="B86" s="24" t="n">
        <v>45831</v>
      </c>
      <c r="C86" t="inlineStr">
        <is>
          <t>Q2082</t>
        </is>
      </c>
      <c r="D86" t="inlineStr">
        <is>
          <t>Invoice for services in JUN</t>
        </is>
      </c>
      <c r="E86" t="n">
        <v>85.92</v>
      </c>
    </row>
    <row r="87">
      <c r="B87" s="24" t="n">
        <v>45831</v>
      </c>
      <c r="C87" t="inlineStr">
        <is>
          <t>Q2083</t>
        </is>
      </c>
      <c r="D87" t="inlineStr">
        <is>
          <t>Invoice for services in JUN</t>
        </is>
      </c>
      <c r="E87" t="n">
        <v>2.35</v>
      </c>
    </row>
    <row r="88">
      <c r="B88" s="24" t="n">
        <v>45831</v>
      </c>
      <c r="C88" t="inlineStr">
        <is>
          <t>Q2084</t>
        </is>
      </c>
      <c r="D88" t="inlineStr">
        <is>
          <t>Invoice for services in JUN</t>
        </is>
      </c>
      <c r="E88" t="n">
        <v>6.67</v>
      </c>
    </row>
    <row r="89">
      <c r="B89" s="24" t="n">
        <v>45831</v>
      </c>
      <c r="C89" t="inlineStr">
        <is>
          <t>Q2085</t>
        </is>
      </c>
      <c r="D89" t="inlineStr">
        <is>
          <t>Invoice for services in JUN</t>
        </is>
      </c>
      <c r="E89" t="n">
        <v>49</v>
      </c>
    </row>
    <row r="90">
      <c r="B90" s="24" t="n">
        <v>45833</v>
      </c>
      <c r="C90" t="inlineStr">
        <is>
          <t>Q2086</t>
        </is>
      </c>
      <c r="D90" t="inlineStr">
        <is>
          <t>Invoice for services in JUN</t>
        </is>
      </c>
      <c r="E90" t="n">
        <v>22</v>
      </c>
    </row>
    <row r="91">
      <c r="B91" s="24" t="n">
        <v>45833</v>
      </c>
      <c r="C91" t="inlineStr">
        <is>
          <t>Q2087</t>
        </is>
      </c>
      <c r="D91" t="inlineStr">
        <is>
          <t>Invoice for services in JUN</t>
        </is>
      </c>
      <c r="E91" t="n">
        <v>1400</v>
      </c>
    </row>
    <row r="92">
      <c r="B92" s="24" t="n">
        <v>45834</v>
      </c>
      <c r="C92" t="inlineStr">
        <is>
          <t>Q2088</t>
        </is>
      </c>
      <c r="D92" t="inlineStr">
        <is>
          <t>Invoice for services in JUN</t>
        </is>
      </c>
      <c r="E92" t="n">
        <v>74.94</v>
      </c>
    </row>
    <row r="93">
      <c r="B93" s="24" t="n">
        <v>45835</v>
      </c>
      <c r="C93" t="inlineStr">
        <is>
          <t>Q2089</t>
        </is>
      </c>
      <c r="D93" t="inlineStr">
        <is>
          <t>Invoice for services in JUN</t>
        </is>
      </c>
      <c r="E93" t="n">
        <v>5.95</v>
      </c>
    </row>
    <row r="94">
      <c r="B94" s="24" t="n">
        <v>45835</v>
      </c>
      <c r="C94" t="inlineStr">
        <is>
          <t>Q2090</t>
        </is>
      </c>
      <c r="D94" t="inlineStr">
        <is>
          <t>Invoice for services in JUN</t>
        </is>
      </c>
      <c r="E94" t="n">
        <v>5.99</v>
      </c>
    </row>
    <row r="95">
      <c r="B95" s="24" t="n">
        <v>45835</v>
      </c>
      <c r="C95" t="inlineStr">
        <is>
          <t>Q2091</t>
        </is>
      </c>
      <c r="D95" t="inlineStr">
        <is>
          <t>Invoice for services in JUN</t>
        </is>
      </c>
      <c r="E95" t="n">
        <v>9.880000000000001</v>
      </c>
    </row>
    <row r="96">
      <c r="B96" s="24" t="n">
        <v>45835</v>
      </c>
      <c r="C96" t="inlineStr">
        <is>
          <t>Q2092</t>
        </is>
      </c>
      <c r="D96" t="inlineStr">
        <is>
          <t>Invoice for services in JUN</t>
        </is>
      </c>
      <c r="E96" t="n">
        <v>11.35</v>
      </c>
    </row>
    <row r="97">
      <c r="B97" s="24" t="n">
        <v>45835</v>
      </c>
      <c r="C97" t="inlineStr">
        <is>
          <t>Q2093</t>
        </is>
      </c>
      <c r="D97" t="inlineStr">
        <is>
          <t>Invoice for services in JUN</t>
        </is>
      </c>
      <c r="E97" t="n">
        <v>16.37</v>
      </c>
    </row>
    <row r="98">
      <c r="B98" s="24" t="n">
        <v>45835</v>
      </c>
      <c r="C98" t="inlineStr">
        <is>
          <t>Q2094</t>
        </is>
      </c>
      <c r="D98" t="inlineStr">
        <is>
          <t>Invoice for services in JUN</t>
        </is>
      </c>
      <c r="E98" t="n">
        <v>64.2</v>
      </c>
    </row>
    <row r="99">
      <c r="B99" s="24" t="n">
        <v>45835</v>
      </c>
      <c r="C99" t="inlineStr">
        <is>
          <t>Q2095</t>
        </is>
      </c>
      <c r="D99" t="inlineStr">
        <is>
          <t>Invoice for services in JUN</t>
        </is>
      </c>
      <c r="E99" t="n">
        <v>16.99</v>
      </c>
    </row>
    <row r="100">
      <c r="B100" s="24" t="n">
        <v>45835</v>
      </c>
      <c r="C100" t="inlineStr">
        <is>
          <t>Q2096</t>
        </is>
      </c>
      <c r="D100" t="inlineStr">
        <is>
          <t>Invoice for services in JUN</t>
        </is>
      </c>
      <c r="E100" t="n">
        <v>20</v>
      </c>
    </row>
    <row r="101">
      <c r="B101" s="24" t="n">
        <v>45838</v>
      </c>
      <c r="C101" t="inlineStr">
        <is>
          <t>Q2097</t>
        </is>
      </c>
      <c r="D101" t="inlineStr">
        <is>
          <t>Invoice for services in JUN</t>
        </is>
      </c>
      <c r="E101" t="n">
        <v>50</v>
      </c>
    </row>
    <row r="102">
      <c r="B102" s="24" t="n">
        <v>45838</v>
      </c>
      <c r="C102" t="inlineStr">
        <is>
          <t>Q2098</t>
        </is>
      </c>
      <c r="D102" t="inlineStr">
        <is>
          <t>Invoice for services in JUN</t>
        </is>
      </c>
      <c r="E102" t="n">
        <v>10.5</v>
      </c>
    </row>
    <row r="103">
      <c r="B103" s="24" t="n">
        <v>45838</v>
      </c>
      <c r="C103" t="inlineStr">
        <is>
          <t>Q2099</t>
        </is>
      </c>
      <c r="D103" t="inlineStr">
        <is>
          <t>Invoice for services in JUN</t>
        </is>
      </c>
      <c r="E103" t="n">
        <v>5.1</v>
      </c>
    </row>
    <row r="104">
      <c r="B104" s="24" t="n">
        <v>45838</v>
      </c>
      <c r="C104" t="inlineStr">
        <is>
          <t>Q2100</t>
        </is>
      </c>
      <c r="D104" t="inlineStr">
        <is>
          <t>Invoice for services in JUN</t>
        </is>
      </c>
      <c r="E104" t="n">
        <v>16</v>
      </c>
    </row>
    <row r="105">
      <c r="B105" s="24" t="n">
        <v>45838</v>
      </c>
      <c r="C105" t="inlineStr">
        <is>
          <t>Q2101</t>
        </is>
      </c>
      <c r="D105" t="inlineStr">
        <is>
          <t>Invoice for services in JUN</t>
        </is>
      </c>
      <c r="E105" t="n">
        <v>104.77</v>
      </c>
    </row>
    <row r="106">
      <c r="B106" s="24" t="n">
        <v>45838</v>
      </c>
      <c r="C106" t="inlineStr">
        <is>
          <t>Q2102</t>
        </is>
      </c>
      <c r="D106" t="inlineStr">
        <is>
          <t>Invoice for services in JUN</t>
        </is>
      </c>
      <c r="E106" t="n">
        <v>3.5</v>
      </c>
    </row>
    <row r="107">
      <c r="B107" s="24" t="n">
        <v>45838</v>
      </c>
      <c r="C107" t="inlineStr">
        <is>
          <t>Q2103</t>
        </is>
      </c>
      <c r="D107" t="inlineStr">
        <is>
          <t>Invoice for services in JUN</t>
        </is>
      </c>
      <c r="E107" t="n">
        <v>5.97</v>
      </c>
    </row>
    <row r="108">
      <c r="D108" s="7" t="inlineStr">
        <is>
          <t>Total for Q2</t>
        </is>
      </c>
      <c r="E108" s="6">
        <f>SUM(E5:E107)</f>
        <v/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workbookViewId="0">
      <selection activeCell="A1" sqref="A1"/>
    </sheetView>
  </sheetViews>
  <sheetFormatPr baseColWidth="8" defaultColWidth="12.63" defaultRowHeight="15.75" customHeight="1"/>
  <cols>
    <col width="9" customWidth="1" style="22" min="1" max="1"/>
    <col width="11.75" customWidth="1" style="22" min="2" max="2"/>
    <col width="7.75" customWidth="1" style="22" min="3" max="3"/>
    <col width="9.380000000000001" customWidth="1" style="22" min="4" max="4"/>
    <col width="12" customWidth="1" style="22" min="5" max="5"/>
    <col width="13.13" customWidth="1" style="22" min="6" max="6"/>
    <col width="11.75" customWidth="1" style="22" min="7" max="7"/>
    <col width="7.75" customWidth="1" style="22" min="8" max="8"/>
    <col width="11.38" customWidth="1" style="22" min="9" max="9"/>
    <col width="7.75" customWidth="1" style="22" min="10" max="10"/>
    <col width="10.88" customWidth="1" style="22" min="11" max="11"/>
    <col width="11.75" customWidth="1" style="22" min="12" max="12"/>
    <col width="7.75" customWidth="1" style="22" min="13" max="26"/>
  </cols>
  <sheetData>
    <row r="1">
      <c r="A1" s="7" t="inlineStr">
        <is>
          <t>BELOW ARE THE ACCOUNTING CATEGORIES OF THE SELF-EMPLOYED FOR MAKING TAX DIGITAL QUARTERLY FILINGS.</t>
        </is>
      </c>
      <c r="E1" s="10" t="n"/>
      <c r="F1" s="11" t="n"/>
    </row>
    <row r="2">
      <c r="A2" s="12" t="inlineStr">
        <is>
          <t>PLEASE NOTE THAT IF YOU ARE ON A SPECIFIC TAX SCHEME, PLEASE COMPLETE THE BOXES IN ACCORDANCE WITH YOUR SCHEME RULES.</t>
        </is>
      </c>
      <c r="E2" s="13" t="n"/>
      <c r="F2" s="11" t="n"/>
    </row>
    <row r="3">
      <c r="A3" s="12" t="inlineStr">
        <is>
          <t>IF YOU ARE UNSURE WHICH FIGURES GO INTO WHICH BOX, OR HOW TO CALCULATE ANY AMOUNTS, PLEASE CONTACT HM REVENUE &amp; CUSTOMS OR ENGAGE AN ACCOUNTANT.</t>
        </is>
      </c>
      <c r="E3" s="13" t="n"/>
      <c r="F3" s="11" t="n"/>
      <c r="K3" s="14" t="n"/>
    </row>
    <row r="4">
      <c r="E4" s="5" t="n"/>
      <c r="F4" s="11" t="n"/>
      <c r="K4" s="14" t="n"/>
    </row>
    <row r="5">
      <c r="D5" s="15" t="inlineStr">
        <is>
          <t>QUARTERLY SELF-EMPLOYMENT FIGURES</t>
        </is>
      </c>
      <c r="E5" s="5" t="n"/>
    </row>
    <row r="6">
      <c r="A6" s="15" t="inlineStr">
        <is>
          <t>HMRC Taxable Profit For Filing:</t>
        </is>
      </c>
      <c r="D6" s="14" t="n"/>
      <c r="E6" s="26">
        <f>G49</f>
        <v/>
      </c>
      <c r="F6" s="27" t="n"/>
      <c r="I6" s="3" t="n"/>
      <c r="K6" s="3" t="n"/>
    </row>
    <row r="7">
      <c r="B7" s="15" t="n"/>
      <c r="D7" s="14" t="n"/>
      <c r="E7" s="5" t="n"/>
      <c r="G7" s="3" t="inlineStr">
        <is>
          <t>£</t>
        </is>
      </c>
      <c r="I7" s="3" t="inlineStr">
        <is>
          <t>£</t>
        </is>
      </c>
      <c r="K7" s="3" t="inlineStr">
        <is>
          <t>£</t>
        </is>
      </c>
    </row>
    <row r="8">
      <c r="E8" s="18" t="n"/>
      <c r="G8" s="18" t="inlineStr">
        <is>
          <t>ALLOWABLE</t>
        </is>
      </c>
      <c r="I8" s="18" t="inlineStr">
        <is>
          <t>DISALLOW</t>
        </is>
      </c>
      <c r="K8" s="18" t="inlineStr">
        <is>
          <t>TOTAL</t>
        </is>
      </c>
    </row>
    <row r="9">
      <c r="A9" s="8" t="inlineStr">
        <is>
          <t>INCOME</t>
        </is>
      </c>
      <c r="E9" s="18" t="n"/>
      <c r="G9" s="18" t="n"/>
      <c r="I9" s="18" t="n"/>
      <c r="K9" s="18" t="n"/>
    </row>
    <row r="10">
      <c r="A10" s="12" t="inlineStr">
        <is>
          <t>Sales</t>
        </is>
      </c>
      <c r="B10" s="3" t="n"/>
      <c r="C10" s="3" t="n"/>
      <c r="D10" s="3" t="n"/>
      <c r="E10" s="18" t="n"/>
      <c r="F10" s="18" t="n"/>
      <c r="G10" s="19">
        <f>Sales!E35</f>
        <v/>
      </c>
      <c r="K10" s="5">
        <f>G10</f>
        <v/>
      </c>
    </row>
    <row r="11" ht="8.25" customHeight="1" s="22">
      <c r="A11" s="12" t="n"/>
      <c r="B11" s="3" t="n"/>
      <c r="C11" s="3" t="n"/>
      <c r="D11" s="3" t="n"/>
      <c r="E11" s="18" t="n"/>
      <c r="F11" s="18" t="n"/>
      <c r="K11" s="5" t="n"/>
    </row>
    <row r="12">
      <c r="A12" s="7" t="inlineStr">
        <is>
          <t>Other Business Income</t>
        </is>
      </c>
      <c r="G12" s="19" t="n">
        <v>0</v>
      </c>
      <c r="K12" s="5">
        <f>G12</f>
        <v/>
      </c>
    </row>
    <row r="13" ht="15" customHeight="1" s="22">
      <c r="G13" s="5" t="n"/>
    </row>
    <row r="14">
      <c r="A14" s="8" t="inlineStr">
        <is>
          <t>Total Income</t>
        </is>
      </c>
      <c r="G14" s="11">
        <f>SUM(G10:G12)</f>
        <v/>
      </c>
      <c r="L14" s="20">
        <f>SUM(K10:K12)</f>
        <v/>
      </c>
    </row>
    <row r="15"/>
    <row r="16">
      <c r="A16" s="8" t="inlineStr">
        <is>
          <t>EXPENSES</t>
        </is>
      </c>
    </row>
    <row r="17">
      <c r="A17" s="7" t="inlineStr">
        <is>
          <t>Cost of Goods (PUT ALL EXPENSES HERE IF USING CONSOLIDATED EXPENSES)</t>
        </is>
      </c>
      <c r="G17" s="19">
        <f>Purchases!E108</f>
        <v/>
      </c>
      <c r="I17" s="19" t="n">
        <v>0</v>
      </c>
      <c r="K17" s="5">
        <f>G17+I17</f>
        <v/>
      </c>
    </row>
    <row r="18" ht="9" customHeight="1" s="22">
      <c r="K18" s="5" t="n"/>
    </row>
    <row r="19">
      <c r="A19" s="7" t="inlineStr">
        <is>
          <t>CIS Subcontractors</t>
        </is>
      </c>
      <c r="G19" s="19" t="n">
        <v>0</v>
      </c>
      <c r="I19" s="19" t="n">
        <v>0</v>
      </c>
      <c r="K19" s="5">
        <f>G19+I19</f>
        <v/>
      </c>
    </row>
    <row r="20" ht="8.25" customHeight="1" s="22">
      <c r="K20" s="5" t="n"/>
    </row>
    <row r="21">
      <c r="A21" s="7" t="inlineStr">
        <is>
          <t>Staff Costs</t>
        </is>
      </c>
      <c r="G21" s="19" t="n">
        <v>0</v>
      </c>
      <c r="I21" s="19" t="n">
        <v>0</v>
      </c>
      <c r="K21" s="5">
        <f>G21+I21</f>
        <v/>
      </c>
    </row>
    <row r="22" ht="9" customHeight="1" s="22">
      <c r="K22" s="5" t="n"/>
    </row>
    <row r="23">
      <c r="A23" s="7" t="inlineStr">
        <is>
          <t>Travel Costs</t>
        </is>
      </c>
      <c r="G23" s="19" t="n">
        <v>0</v>
      </c>
      <c r="I23" s="19" t="n">
        <v>0</v>
      </c>
      <c r="K23" s="5">
        <f>G23+I23</f>
        <v/>
      </c>
    </row>
    <row r="24" ht="9" customHeight="1" s="22">
      <c r="K24" s="5" t="n"/>
    </row>
    <row r="25">
      <c r="A25" s="7" t="inlineStr">
        <is>
          <t>Premises Costs</t>
        </is>
      </c>
      <c r="G25" s="19" t="n">
        <v>0</v>
      </c>
      <c r="I25" s="19" t="n">
        <v>0</v>
      </c>
      <c r="K25" s="5">
        <f>G25+I25</f>
        <v/>
      </c>
    </row>
    <row r="26" ht="8.25" customHeight="1" s="22">
      <c r="K26" s="5" t="n"/>
    </row>
    <row r="27">
      <c r="A27" s="7" t="inlineStr">
        <is>
          <t>Maintenance Costs</t>
        </is>
      </c>
      <c r="G27" s="19" t="n">
        <v>0</v>
      </c>
      <c r="I27" s="19" t="n">
        <v>0</v>
      </c>
      <c r="K27" s="5">
        <f>G27+I27</f>
        <v/>
      </c>
    </row>
    <row r="28" ht="7.5" customHeight="1" s="22">
      <c r="K28" s="5" t="n"/>
    </row>
    <row r="29">
      <c r="A29" s="7" t="inlineStr">
        <is>
          <t>Admin Costs</t>
        </is>
      </c>
      <c r="G29" s="19" t="n">
        <v>0</v>
      </c>
      <c r="I29" s="19" t="n">
        <v>0</v>
      </c>
      <c r="K29" s="5">
        <f>G29+I29</f>
        <v/>
      </c>
    </row>
    <row r="30" ht="8.25" customHeight="1" s="22">
      <c r="K30" s="5" t="n"/>
    </row>
    <row r="31">
      <c r="A31" s="7" t="inlineStr">
        <is>
          <t>Advertising Costs</t>
        </is>
      </c>
      <c r="G31" s="19" t="n">
        <v>0</v>
      </c>
      <c r="I31" s="19" t="n">
        <v>0</v>
      </c>
      <c r="K31" s="5">
        <f>G31+I31</f>
        <v/>
      </c>
    </row>
    <row r="32" ht="8.25" customHeight="1" s="22">
      <c r="K32" s="5" t="n"/>
    </row>
    <row r="33">
      <c r="A33" s="7" t="inlineStr">
        <is>
          <t>Entertainment Costs</t>
        </is>
      </c>
      <c r="G33" s="19" t="n">
        <v>0</v>
      </c>
      <c r="I33" s="19" t="n">
        <v>0</v>
      </c>
      <c r="K33" s="5">
        <f>G33+I33</f>
        <v/>
      </c>
    </row>
    <row r="34" ht="9" customHeight="1" s="22">
      <c r="K34" s="5" t="n"/>
    </row>
    <row r="35">
      <c r="A35" s="7" t="inlineStr">
        <is>
          <t>Interest Payments</t>
        </is>
      </c>
      <c r="G35" s="19" t="n">
        <v>0</v>
      </c>
      <c r="I35" s="19" t="n">
        <v>0</v>
      </c>
      <c r="K35" s="5">
        <f>G35+I35</f>
        <v/>
      </c>
    </row>
    <row r="36" ht="9" customHeight="1" s="22">
      <c r="K36" s="5" t="n"/>
    </row>
    <row r="37">
      <c r="A37" s="7" t="inlineStr">
        <is>
          <t>Finance Charges</t>
        </is>
      </c>
      <c r="G37" s="19" t="n">
        <v>0</v>
      </c>
      <c r="I37" s="19" t="n">
        <v>0</v>
      </c>
      <c r="K37" s="5">
        <f>G37+I37</f>
        <v/>
      </c>
    </row>
    <row r="38" ht="9" customHeight="1" s="22">
      <c r="K38" s="5" t="n"/>
    </row>
    <row r="39">
      <c r="A39" s="7" t="inlineStr">
        <is>
          <t>Bad Debts</t>
        </is>
      </c>
      <c r="G39" s="19" t="n">
        <v>0</v>
      </c>
      <c r="I39" s="19" t="n">
        <v>0</v>
      </c>
      <c r="K39" s="5">
        <f>G39+I39</f>
        <v/>
      </c>
    </row>
    <row r="40" ht="8.25" customHeight="1" s="22">
      <c r="K40" s="5" t="n"/>
    </row>
    <row r="41">
      <c r="A41" s="7" t="inlineStr">
        <is>
          <t>Professional Fees</t>
        </is>
      </c>
      <c r="G41" s="19" t="n">
        <v>0</v>
      </c>
      <c r="I41" s="19" t="n">
        <v>0</v>
      </c>
      <c r="K41" s="5">
        <f>G41+I41</f>
        <v/>
      </c>
    </row>
    <row r="42" ht="8.25" customHeight="1" s="22">
      <c r="K42" s="5" t="n"/>
    </row>
    <row r="43">
      <c r="A43" s="7" t="inlineStr">
        <is>
          <t>Depreciation</t>
        </is>
      </c>
      <c r="G43" s="19" t="n">
        <v>0</v>
      </c>
      <c r="I43" s="19" t="n">
        <v>0</v>
      </c>
      <c r="K43" s="5">
        <f>G43+I43</f>
        <v/>
      </c>
    </row>
    <row r="44" ht="7.5" customHeight="1" s="22">
      <c r="K44" s="5" t="n"/>
    </row>
    <row r="45">
      <c r="A45" s="7" t="inlineStr">
        <is>
          <t>Other Expenses</t>
        </is>
      </c>
      <c r="G45" s="19" t="n">
        <v>0</v>
      </c>
      <c r="I45" s="19" t="n">
        <v>0</v>
      </c>
      <c r="K45" s="5">
        <f>G45+I45</f>
        <v/>
      </c>
    </row>
    <row r="46" ht="8.25" customHeight="1" s="22">
      <c r="G46" s="5" t="n"/>
      <c r="I46" s="5" t="n"/>
      <c r="K46" s="5" t="n"/>
    </row>
    <row r="47">
      <c r="A47" s="8" t="inlineStr">
        <is>
          <t>Total Expenses</t>
        </is>
      </c>
      <c r="G47" s="11">
        <f>SUM(G17:G45)</f>
        <v/>
      </c>
      <c r="I47" s="11">
        <f>SUM(I17:I45)</f>
        <v/>
      </c>
      <c r="K47" s="5" t="n"/>
    </row>
    <row r="48">
      <c r="L48" s="20">
        <f>-SUM(K17:K45)</f>
        <v/>
      </c>
    </row>
    <row r="49">
      <c r="A49" s="8" t="inlineStr">
        <is>
          <t>TAXABLE PROFIT, PER HMRC SUBMISSION TOTAL:</t>
        </is>
      </c>
      <c r="G49" s="6">
        <f>G14-G47</f>
        <v/>
      </c>
      <c r="I49" s="5" t="n"/>
    </row>
    <row r="50"/>
    <row r="51">
      <c r="A51" s="7" t="inlineStr">
        <is>
          <t>BUSINESS NET-PROFIT (FOR YOURE REFERENCE ONLY)</t>
        </is>
      </c>
      <c r="L51" s="21">
        <f>L14+L48</f>
        <v/>
      </c>
    </row>
  </sheetData>
  <mergeCells count="1">
    <mergeCell ref="E6:F6"/>
  </mergeCells>
  <pageMargins left="0.7" right="0.7" top="0.75" bottom="0.75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2026-03-02T23:23:14Z</dcterms:created>
  <dcterms:modified xsi:type="dcterms:W3CDTF">2026-03-02T23:23:14Z</dcterms:modified>
</cp:coreProperties>
</file>