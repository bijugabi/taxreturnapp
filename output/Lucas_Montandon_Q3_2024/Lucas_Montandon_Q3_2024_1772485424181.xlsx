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ales" sheetId="1" state="visible" r:id="rId1"/>
    <sheet name="Purchases" sheetId="2" state="visible" r:id="rId2"/>
    <sheet name="ITSEFi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£&quot;#,##0.00"/>
    <numFmt numFmtId="165" formatCode="yyyy-mm-dd h:mm:ss"/>
  </numFmts>
  <fonts count="10">
    <font>
      <name val="Arial"/>
      <color rgb="FF000000"/>
      <sz val="10"/>
      <scheme val="minor"/>
    </font>
    <font>
      <name val="Calibri"/>
      <b val="1"/>
      <color theme="1"/>
      <sz val="22"/>
    </font>
    <font>
      <name val="Calibri"/>
      <color theme="1"/>
      <sz val="11"/>
    </font>
    <font>
      <name val="Calibri"/>
      <b val="1"/>
      <color theme="1"/>
      <sz val="11"/>
    </font>
    <font>
      <name val="Arial"/>
      <color theme="1"/>
      <scheme val="minor"/>
    </font>
    <font>
      <name val="Overlock"/>
      <b val="1"/>
      <color rgb="FF808080"/>
      <sz val="16"/>
    </font>
    <font>
      <name val="Calibri"/>
      <color rgb="FF000000"/>
      <sz val="11"/>
    </font>
    <font>
      <name val="Calibri"/>
      <b val="1"/>
      <color theme="1"/>
      <sz val="16"/>
    </font>
    <font>
      <name val="Calibri"/>
      <b val="1"/>
      <color theme="1"/>
      <sz val="14"/>
    </font>
    <font/>
  </fonts>
  <fills count="2">
    <fill>
      <patternFill/>
    </fill>
    <fill>
      <patternFill patternType="lightGray"/>
    </fill>
  </fills>
  <borders count="7">
    <border/>
    <border>
      <top style="double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4" fontId="2" fillId="0" borderId="0" applyAlignment="1" pivotButton="0" quotePrefix="0" xfId="0">
      <alignment horizontal="center"/>
    </xf>
    <xf numFmtId="4" fontId="2" fillId="0" borderId="0" pivotButton="0" quotePrefix="0" xfId="0"/>
    <xf numFmtId="4" fontId="3" fillId="0" borderId="1" pivotButton="0" quotePrefix="0" xfId="0"/>
    <xf numFmtId="0" fontId="4" fillId="0" borderId="0" pivotButton="0" quotePrefix="0" xfId="0"/>
    <xf numFmtId="0" fontId="3" fillId="0" borderId="0" pivotButton="0" quotePrefix="0" xfId="0"/>
    <xf numFmtId="14" fontId="2" fillId="0" borderId="0" pivotButton="0" quotePrefix="0" xfId="0"/>
    <xf numFmtId="4" fontId="5" fillId="0" borderId="0" applyAlignment="1" pivotButton="0" quotePrefix="0" xfId="0">
      <alignment horizontal="center" vertical="center"/>
    </xf>
    <xf numFmtId="4" fontId="3" fillId="0" borderId="0" pivotButton="0" quotePrefix="0" xfId="0"/>
    <xf numFmtId="0" fontId="2" fillId="0" borderId="0" applyAlignment="1" pivotButton="0" quotePrefix="0" xfId="0">
      <alignment horizontal="left"/>
    </xf>
    <xf numFmtId="0" fontId="6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/>
    </xf>
    <xf numFmtId="0" fontId="7" fillId="0" borderId="0" pivotButton="0" quotePrefix="0" xfId="0"/>
    <xf numFmtId="164" fontId="8" fillId="0" borderId="2" applyAlignment="1" pivotButton="0" quotePrefix="0" xfId="0">
      <alignment horizontal="center"/>
    </xf>
    <xf numFmtId="0" fontId="9" fillId="0" borderId="3" pivotButton="0" quotePrefix="0" xfId="0"/>
    <xf numFmtId="4" fontId="3" fillId="0" borderId="0" applyAlignment="1" pivotButton="0" quotePrefix="0" xfId="0">
      <alignment horizontal="center"/>
    </xf>
    <xf numFmtId="4" fontId="2" fillId="0" borderId="4" pivotButton="0" quotePrefix="0" xfId="0"/>
    <xf numFmtId="4" fontId="2" fillId="0" borderId="5" pivotButton="0" quotePrefix="0" xfId="0"/>
    <xf numFmtId="4" fontId="2" fillId="0" borderId="1" pivotButton="0" quotePrefix="0" xfId="0"/>
    <xf numFmtId="0" fontId="0" fillId="0" borderId="0" pivotButton="0" quotePrefix="0" xfId="0"/>
    <xf numFmtId="165" fontId="0" fillId="0" borderId="0" pivotButton="0" quotePrefix="0" xfId="0"/>
    <xf numFmtId="164" fontId="8" fillId="0" borderId="4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Z57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22" min="1" max="1"/>
    <col width="9.380000000000001" customWidth="1" style="22" min="2" max="2"/>
    <col width="7.75" customWidth="1" style="22" min="3" max="3"/>
    <col width="30.88" customWidth="1" style="22" min="4" max="4"/>
    <col width="7.75" customWidth="1" style="22" min="5" max="26"/>
  </cols>
  <sheetData>
    <row r="1">
      <c r="B1" s="1" t="inlineStr">
        <is>
          <t>SALES</t>
        </is>
      </c>
    </row>
    <row r="2"/>
    <row r="3"/>
    <row r="4">
      <c r="A4" s="2" t="n"/>
      <c r="B4" s="3" t="inlineStr">
        <is>
          <t>Date</t>
        </is>
      </c>
      <c r="C4" s="3" t="inlineStr">
        <is>
          <t>Inv #</t>
        </is>
      </c>
      <c r="D4" s="3" t="inlineStr">
        <is>
          <t>Narrative</t>
        </is>
      </c>
      <c r="E4" s="3" t="inlineStr">
        <is>
          <t>£</t>
        </is>
      </c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B5" s="4" t="n">
        <v>45477</v>
      </c>
      <c r="C5" s="2" t="inlineStr">
        <is>
          <t>Q3001</t>
        </is>
      </c>
      <c r="D5" s="2" t="inlineStr">
        <is>
          <t>Invoice for services in JUL</t>
        </is>
      </c>
      <c r="E5" s="5" t="n">
        <v>20</v>
      </c>
    </row>
    <row r="6">
      <c r="B6" s="4" t="n">
        <v>45478</v>
      </c>
      <c r="C6" s="2" t="inlineStr">
        <is>
          <t>Q3002</t>
        </is>
      </c>
      <c r="D6" s="2" t="inlineStr">
        <is>
          <t>Invoice for services in JUL</t>
        </is>
      </c>
      <c r="E6" s="5" t="n">
        <v>1283.85</v>
      </c>
    </row>
    <row r="7">
      <c r="B7" s="4" t="n">
        <v>45478</v>
      </c>
      <c r="C7" s="2" t="inlineStr">
        <is>
          <t>Q3003</t>
        </is>
      </c>
      <c r="D7" s="2" t="inlineStr">
        <is>
          <t>Invoice for services in JUL</t>
        </is>
      </c>
      <c r="E7" s="5" t="n">
        <v>8.75</v>
      </c>
    </row>
    <row r="8">
      <c r="B8" s="4" t="n">
        <v>45484</v>
      </c>
      <c r="C8" s="2" t="inlineStr">
        <is>
          <t>Q3004</t>
        </is>
      </c>
      <c r="D8" s="2" t="inlineStr">
        <is>
          <t>Invoice for services in JUL</t>
        </is>
      </c>
      <c r="E8" s="5" t="n">
        <v>11.5</v>
      </c>
    </row>
    <row r="9">
      <c r="B9" s="4" t="n">
        <v>45484</v>
      </c>
      <c r="C9" s="2" t="inlineStr">
        <is>
          <t>Q3005</t>
        </is>
      </c>
      <c r="D9" s="2" t="inlineStr">
        <is>
          <t>Invoice for services in JUL</t>
        </is>
      </c>
      <c r="E9" s="5" t="n">
        <v>11.51</v>
      </c>
    </row>
    <row r="10">
      <c r="B10" s="4" t="n">
        <v>45484</v>
      </c>
      <c r="C10" s="2" t="inlineStr">
        <is>
          <t>Q3006</t>
        </is>
      </c>
      <c r="D10" s="2" t="inlineStr">
        <is>
          <t>Invoice for services in JUL</t>
        </is>
      </c>
      <c r="E10" s="5" t="n">
        <v>11.5</v>
      </c>
    </row>
    <row r="11">
      <c r="B11" s="4" t="n">
        <v>45484</v>
      </c>
      <c r="C11" s="2" t="inlineStr">
        <is>
          <t>Q3007</t>
        </is>
      </c>
      <c r="D11" s="2" t="inlineStr">
        <is>
          <t>Invoice for services in JUL</t>
        </is>
      </c>
      <c r="E11" s="5" t="n">
        <v>11.5</v>
      </c>
    </row>
    <row r="12">
      <c r="B12" s="4" t="n">
        <v>45485</v>
      </c>
      <c r="C12" s="2" t="inlineStr">
        <is>
          <t>Q3008</t>
        </is>
      </c>
      <c r="D12" s="2" t="inlineStr">
        <is>
          <t>Invoice for services in JUL</t>
        </is>
      </c>
      <c r="E12" s="5" t="n">
        <v>1063.3</v>
      </c>
    </row>
    <row r="13">
      <c r="B13" s="4" t="n">
        <v>45486</v>
      </c>
      <c r="C13" s="2" t="inlineStr">
        <is>
          <t>Q3009</t>
        </is>
      </c>
      <c r="D13" s="2" t="inlineStr">
        <is>
          <t>Invoice for services in JUL</t>
        </is>
      </c>
      <c r="E13" s="5" t="n">
        <v>11.5</v>
      </c>
    </row>
    <row r="14">
      <c r="B14" s="4" t="n">
        <v>45490</v>
      </c>
      <c r="C14" s="2" t="inlineStr">
        <is>
          <t>Q3010</t>
        </is>
      </c>
      <c r="D14" s="2" t="inlineStr">
        <is>
          <t>Invoice for services in JUL</t>
        </is>
      </c>
      <c r="E14" s="5" t="n">
        <v>40.8</v>
      </c>
    </row>
    <row r="15">
      <c r="B15" s="23" t="n">
        <v>45490</v>
      </c>
      <c r="C15" t="inlineStr">
        <is>
          <t>Q3011</t>
        </is>
      </c>
      <c r="D15" t="inlineStr">
        <is>
          <t>Invoice for services in JUL</t>
        </is>
      </c>
      <c r="E15" t="n">
        <v>16.9</v>
      </c>
    </row>
    <row r="16">
      <c r="B16" s="23" t="n">
        <v>45491</v>
      </c>
      <c r="C16" t="inlineStr">
        <is>
          <t>Q3012</t>
        </is>
      </c>
      <c r="D16" t="inlineStr">
        <is>
          <t>Invoice for services in JUL</t>
        </is>
      </c>
      <c r="E16" t="n">
        <v>19.78</v>
      </c>
    </row>
    <row r="17">
      <c r="B17" s="23" t="n">
        <v>45492</v>
      </c>
      <c r="C17" t="inlineStr">
        <is>
          <t>Q3013</t>
        </is>
      </c>
      <c r="D17" t="inlineStr">
        <is>
          <t>Invoice for services in JUL</t>
        </is>
      </c>
      <c r="E17" t="n">
        <v>1078.3</v>
      </c>
    </row>
    <row r="18">
      <c r="B18" s="23" t="n">
        <v>45498</v>
      </c>
      <c r="C18" t="inlineStr">
        <is>
          <t>Q3014</t>
        </is>
      </c>
      <c r="D18" t="inlineStr">
        <is>
          <t>Invoice for services in JUL</t>
        </is>
      </c>
      <c r="E18" t="n">
        <v>250</v>
      </c>
    </row>
    <row r="19">
      <c r="B19" s="23" t="n">
        <v>45499</v>
      </c>
      <c r="C19" t="inlineStr">
        <is>
          <t>Q3015</t>
        </is>
      </c>
      <c r="D19" t="inlineStr">
        <is>
          <t>Invoice for services in JUL</t>
        </is>
      </c>
      <c r="E19" t="n">
        <v>935</v>
      </c>
    </row>
    <row r="20">
      <c r="B20" s="23" t="n">
        <v>45500</v>
      </c>
      <c r="C20" t="inlineStr">
        <is>
          <t>Q3016</t>
        </is>
      </c>
      <c r="D20" t="inlineStr">
        <is>
          <t>Invoice for services in JUL</t>
        </is>
      </c>
      <c r="E20" t="n">
        <v>12.6</v>
      </c>
    </row>
    <row r="21">
      <c r="B21" s="23" t="n">
        <v>45503</v>
      </c>
      <c r="C21" t="inlineStr">
        <is>
          <t>Q3017</t>
        </is>
      </c>
      <c r="D21" t="inlineStr">
        <is>
          <t>Invoice for services in JUL</t>
        </is>
      </c>
      <c r="E21" t="n">
        <v>28.2</v>
      </c>
    </row>
    <row r="22">
      <c r="B22" s="23" t="n">
        <v>45503</v>
      </c>
      <c r="C22" t="inlineStr">
        <is>
          <t>Q3018</t>
        </is>
      </c>
      <c r="D22" t="inlineStr">
        <is>
          <t>Invoice for services in JUL</t>
        </is>
      </c>
      <c r="E22" t="n">
        <v>31.4</v>
      </c>
    </row>
    <row r="23">
      <c r="B23" s="23" t="n">
        <v>45504</v>
      </c>
      <c r="C23" t="inlineStr">
        <is>
          <t>Q3019</t>
        </is>
      </c>
      <c r="D23" t="inlineStr">
        <is>
          <t>Invoice for services in JUL</t>
        </is>
      </c>
      <c r="E23" t="n">
        <v>164.7</v>
      </c>
    </row>
    <row r="24">
      <c r="B24" s="23" t="n">
        <v>45504</v>
      </c>
      <c r="C24" t="inlineStr">
        <is>
          <t>Q3020</t>
        </is>
      </c>
      <c r="D24" t="inlineStr">
        <is>
          <t>Invoice for services in JUL</t>
        </is>
      </c>
      <c r="E24" t="n">
        <v>20.9</v>
      </c>
    </row>
    <row r="25">
      <c r="B25" s="23" t="n">
        <v>45504</v>
      </c>
      <c r="C25" t="inlineStr">
        <is>
          <t>Q3021</t>
        </is>
      </c>
      <c r="D25" t="inlineStr">
        <is>
          <t>Invoice for services in JUL</t>
        </is>
      </c>
      <c r="E25" t="n">
        <v>20.9</v>
      </c>
    </row>
    <row r="26">
      <c r="B26" s="23" t="n">
        <v>45506</v>
      </c>
      <c r="C26" t="inlineStr">
        <is>
          <t>Q3022</t>
        </is>
      </c>
      <c r="D26" t="inlineStr">
        <is>
          <t>Invoice for services in AUG</t>
        </is>
      </c>
      <c r="E26" t="n">
        <v>500.1</v>
      </c>
    </row>
    <row r="27">
      <c r="B27" s="23" t="n">
        <v>45514</v>
      </c>
      <c r="C27" t="inlineStr">
        <is>
          <t>Q3023</t>
        </is>
      </c>
      <c r="D27" t="inlineStr">
        <is>
          <t>Invoice for services in AUG</t>
        </is>
      </c>
      <c r="E27" t="n">
        <v>1507.4</v>
      </c>
    </row>
    <row r="28">
      <c r="B28" s="23" t="n">
        <v>45515</v>
      </c>
      <c r="C28" t="inlineStr">
        <is>
          <t>Q3024</t>
        </is>
      </c>
      <c r="D28" t="inlineStr">
        <is>
          <t>Invoice for services in AUG</t>
        </is>
      </c>
      <c r="E28" t="n">
        <v>8.5</v>
      </c>
    </row>
    <row r="29">
      <c r="B29" s="23" t="n">
        <v>45515</v>
      </c>
      <c r="C29" t="inlineStr">
        <is>
          <t>Q3025</t>
        </is>
      </c>
      <c r="D29" t="inlineStr">
        <is>
          <t>Invoice for services in AUG</t>
        </is>
      </c>
      <c r="E29" t="n">
        <v>40</v>
      </c>
    </row>
    <row r="30">
      <c r="B30" s="23" t="n">
        <v>45515</v>
      </c>
      <c r="C30" t="inlineStr">
        <is>
          <t>Q3026</t>
        </is>
      </c>
      <c r="D30" t="inlineStr">
        <is>
          <t>Invoice for services in AUG</t>
        </is>
      </c>
      <c r="E30" t="n">
        <v>8.5</v>
      </c>
    </row>
    <row r="31">
      <c r="B31" s="23" t="n">
        <v>45519</v>
      </c>
      <c r="C31" t="inlineStr">
        <is>
          <t>Q3027</t>
        </is>
      </c>
      <c r="D31" t="inlineStr">
        <is>
          <t>Invoice for services in AUG</t>
        </is>
      </c>
      <c r="E31" t="n">
        <v>8.5</v>
      </c>
    </row>
    <row r="32">
      <c r="B32" s="23" t="n">
        <v>45520</v>
      </c>
      <c r="C32" t="inlineStr">
        <is>
          <t>Q3028</t>
        </is>
      </c>
      <c r="D32" t="inlineStr">
        <is>
          <t>Invoice for services in AUG</t>
        </is>
      </c>
      <c r="E32" t="n">
        <v>1161</v>
      </c>
    </row>
    <row r="33">
      <c r="B33" s="23" t="n">
        <v>45531</v>
      </c>
      <c r="C33" t="inlineStr">
        <is>
          <t>Q3029</t>
        </is>
      </c>
      <c r="D33" t="inlineStr">
        <is>
          <t>Invoice for services in AUG</t>
        </is>
      </c>
      <c r="E33" t="n">
        <v>1233.33</v>
      </c>
    </row>
    <row r="34">
      <c r="B34" s="23" t="n">
        <v>45534</v>
      </c>
      <c r="C34" t="inlineStr">
        <is>
          <t>Q3030</t>
        </is>
      </c>
      <c r="D34" t="inlineStr">
        <is>
          <t>Invoice for services in AUG</t>
        </is>
      </c>
      <c r="E34" t="n">
        <v>1534.15</v>
      </c>
    </row>
    <row r="35">
      <c r="B35" s="23" t="n">
        <v>45535</v>
      </c>
      <c r="C35" t="inlineStr">
        <is>
          <t>Q3031</t>
        </is>
      </c>
      <c r="D35" t="inlineStr">
        <is>
          <t>Invoice for services in AUG</t>
        </is>
      </c>
      <c r="E35" t="n">
        <v>20</v>
      </c>
    </row>
    <row r="36">
      <c r="B36" s="23" t="n">
        <v>45535</v>
      </c>
      <c r="C36" t="inlineStr">
        <is>
          <t>Q3032</t>
        </is>
      </c>
      <c r="D36" t="inlineStr">
        <is>
          <t>Invoice for services in AUG</t>
        </is>
      </c>
      <c r="E36" t="n">
        <v>50</v>
      </c>
    </row>
    <row r="37">
      <c r="B37" s="23" t="n">
        <v>45542</v>
      </c>
      <c r="C37" t="inlineStr">
        <is>
          <t>Q3033</t>
        </is>
      </c>
      <c r="D37" t="inlineStr">
        <is>
          <t>Invoice for services in SEP</t>
        </is>
      </c>
      <c r="E37" t="n">
        <v>1910.2</v>
      </c>
    </row>
    <row r="38">
      <c r="B38" s="23" t="n">
        <v>45543</v>
      </c>
      <c r="C38" t="inlineStr">
        <is>
          <t>Q3034</t>
        </is>
      </c>
      <c r="D38" t="inlineStr">
        <is>
          <t>Invoice for services in SEP</t>
        </is>
      </c>
      <c r="E38" t="n">
        <v>7</v>
      </c>
    </row>
    <row r="39">
      <c r="B39" s="23" t="n">
        <v>45543</v>
      </c>
      <c r="C39" t="inlineStr">
        <is>
          <t>Q3035</t>
        </is>
      </c>
      <c r="D39" t="inlineStr">
        <is>
          <t>Invoice for services in SEP</t>
        </is>
      </c>
      <c r="E39" t="n">
        <v>7</v>
      </c>
    </row>
    <row r="40">
      <c r="B40" s="23" t="n">
        <v>45543</v>
      </c>
      <c r="C40" t="inlineStr">
        <is>
          <t>Q3036</t>
        </is>
      </c>
      <c r="D40" t="inlineStr">
        <is>
          <t>Invoice for services in SEP</t>
        </is>
      </c>
      <c r="E40" t="n">
        <v>7</v>
      </c>
    </row>
    <row r="41">
      <c r="B41" s="23" t="n">
        <v>45544</v>
      </c>
      <c r="C41" t="inlineStr">
        <is>
          <t>Q3037</t>
        </is>
      </c>
      <c r="D41" t="inlineStr">
        <is>
          <t>Invoice for services in SEP</t>
        </is>
      </c>
      <c r="E41" t="n">
        <v>7</v>
      </c>
    </row>
    <row r="42">
      <c r="B42" s="23" t="n">
        <v>45545</v>
      </c>
      <c r="C42" t="inlineStr">
        <is>
          <t>Q3038</t>
        </is>
      </c>
      <c r="D42" t="inlineStr">
        <is>
          <t>Invoice for services in SEP</t>
        </is>
      </c>
      <c r="E42" t="n">
        <v>7</v>
      </c>
    </row>
    <row r="43">
      <c r="B43" s="23" t="n">
        <v>45545</v>
      </c>
      <c r="C43" t="inlineStr">
        <is>
          <t>Q3039</t>
        </is>
      </c>
      <c r="D43" t="inlineStr">
        <is>
          <t>Invoice for services in SEP</t>
        </is>
      </c>
      <c r="E43" t="n">
        <v>13</v>
      </c>
    </row>
    <row r="44">
      <c r="B44" s="23" t="n">
        <v>45548</v>
      </c>
      <c r="C44" t="inlineStr">
        <is>
          <t>Q3040</t>
        </is>
      </c>
      <c r="D44" t="inlineStr">
        <is>
          <t>Invoice for services in SEP</t>
        </is>
      </c>
      <c r="E44" t="n">
        <v>820.1</v>
      </c>
    </row>
    <row r="45">
      <c r="B45" s="23" t="n">
        <v>45551</v>
      </c>
      <c r="C45" t="inlineStr">
        <is>
          <t>Q3041</t>
        </is>
      </c>
      <c r="D45" t="inlineStr">
        <is>
          <t>Invoice for services in SEP</t>
        </is>
      </c>
      <c r="E45" t="n">
        <v>5</v>
      </c>
    </row>
    <row r="46">
      <c r="B46" s="23" t="n">
        <v>45555</v>
      </c>
      <c r="C46" t="inlineStr">
        <is>
          <t>Q3042</t>
        </is>
      </c>
      <c r="D46" t="inlineStr">
        <is>
          <t>Invoice for services in SEP</t>
        </is>
      </c>
      <c r="E46" t="n">
        <v>1374.25</v>
      </c>
    </row>
    <row r="47">
      <c r="B47" s="23" t="n">
        <v>45559</v>
      </c>
      <c r="C47" t="inlineStr">
        <is>
          <t>Q3043</t>
        </is>
      </c>
      <c r="D47" t="inlineStr">
        <is>
          <t>Invoice for services in SEP</t>
        </is>
      </c>
      <c r="E47" t="n">
        <v>5</v>
      </c>
    </row>
    <row r="48">
      <c r="B48" s="23" t="n">
        <v>45562</v>
      </c>
      <c r="C48" t="inlineStr">
        <is>
          <t>Q3044</t>
        </is>
      </c>
      <c r="D48" t="inlineStr">
        <is>
          <t>Invoice for services in SEP</t>
        </is>
      </c>
      <c r="E48" t="n">
        <v>40</v>
      </c>
    </row>
    <row r="49">
      <c r="B49" s="23" t="n">
        <v>45563</v>
      </c>
      <c r="C49" t="inlineStr">
        <is>
          <t>Q3045</t>
        </is>
      </c>
      <c r="D49" t="inlineStr">
        <is>
          <t>Invoice for services in SEP</t>
        </is>
      </c>
      <c r="E49" t="n">
        <v>1162.1</v>
      </c>
    </row>
    <row r="50">
      <c r="E50" s="6">
        <f>SUM(E5:E49)</f>
        <v/>
      </c>
    </row>
    <row r="51"/>
    <row r="52"/>
    <row r="53"/>
    <row r="54">
      <c r="B54" s="7" t="inlineStr">
        <is>
          <t>Profit for Q2:</t>
        </is>
      </c>
      <c r="D54" s="2" t="inlineStr">
        <is>
          <t>Sales</t>
        </is>
      </c>
      <c r="E54" s="5">
        <f>E50</f>
        <v/>
      </c>
    </row>
    <row r="55">
      <c r="D55" s="2" t="inlineStr">
        <is>
          <t>Purchases</t>
        </is>
      </c>
      <c r="E55" s="5">
        <f>-Purchases!E359</f>
        <v/>
      </c>
    </row>
    <row r="56"/>
    <row r="57">
      <c r="D57" s="8" t="inlineStr">
        <is>
          <t>Profit for Q2:</t>
        </is>
      </c>
      <c r="E57" s="6">
        <f>E50-'Purchases'!E359</f>
        <v/>
      </c>
    </row>
  </sheetData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/>
  </sheetPr>
  <dimension ref="A1:Z359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22" min="1" max="1"/>
    <col width="9.380000000000001" customWidth="1" style="22" min="2" max="2"/>
    <col width="7.75" customWidth="1" style="22" min="3" max="3"/>
    <col width="30.88" customWidth="1" style="22" min="4" max="4"/>
    <col width="7.75" customWidth="1" style="22" min="5" max="26"/>
  </cols>
  <sheetData>
    <row r="1">
      <c r="B1" s="1" t="inlineStr">
        <is>
          <t>PURCHASES</t>
        </is>
      </c>
    </row>
    <row r="2"/>
    <row r="3"/>
    <row r="4">
      <c r="A4" s="3" t="n"/>
      <c r="B4" s="3" t="inlineStr">
        <is>
          <t>Date</t>
        </is>
      </c>
      <c r="C4" s="3" t="inlineStr">
        <is>
          <t>Inv #</t>
        </is>
      </c>
      <c r="D4" s="3" t="inlineStr">
        <is>
          <t>Narrative</t>
        </is>
      </c>
      <c r="E4" s="3" t="inlineStr">
        <is>
          <t>£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B5" s="4" t="n">
        <v>45474</v>
      </c>
      <c r="C5" s="2" t="inlineStr">
        <is>
          <t>Q3001</t>
        </is>
      </c>
      <c r="D5" s="2" t="inlineStr">
        <is>
          <t>Invoice for services in JUL</t>
        </is>
      </c>
      <c r="E5" s="5" t="n">
        <v>5.25</v>
      </c>
    </row>
    <row r="6">
      <c r="B6" s="4" t="n">
        <v>45474</v>
      </c>
      <c r="C6" s="2" t="inlineStr">
        <is>
          <t>Q3002</t>
        </is>
      </c>
      <c r="D6" s="2" t="inlineStr">
        <is>
          <t>Invoice for services in JUL</t>
        </is>
      </c>
      <c r="E6" s="5" t="n">
        <v>164.7</v>
      </c>
    </row>
    <row r="7">
      <c r="B7" s="4" t="n">
        <v>45474</v>
      </c>
      <c r="C7" s="2" t="inlineStr">
        <is>
          <t>Q3003</t>
        </is>
      </c>
      <c r="D7" s="2" t="inlineStr">
        <is>
          <t>Invoice for services in JUL</t>
        </is>
      </c>
      <c r="E7" s="5" t="n">
        <v>14.8</v>
      </c>
    </row>
    <row r="8">
      <c r="B8" s="9" t="n">
        <v>45474</v>
      </c>
      <c r="C8" t="inlineStr">
        <is>
          <t>Q3004</t>
        </is>
      </c>
      <c r="D8" t="inlineStr">
        <is>
          <t>Invoice for services in JUL</t>
        </is>
      </c>
      <c r="E8" s="5" t="n">
        <v>2.25</v>
      </c>
    </row>
    <row r="9">
      <c r="B9" s="23" t="n">
        <v>45475</v>
      </c>
      <c r="C9" t="inlineStr">
        <is>
          <t>Q3005</t>
        </is>
      </c>
      <c r="D9" t="inlineStr">
        <is>
          <t>Invoice for services in JUL</t>
        </is>
      </c>
      <c r="E9" t="n">
        <v>10.85</v>
      </c>
    </row>
    <row r="10">
      <c r="B10" s="23" t="n">
        <v>45475</v>
      </c>
      <c r="C10" t="inlineStr">
        <is>
          <t>Q3006</t>
        </is>
      </c>
      <c r="D10" t="inlineStr">
        <is>
          <t>Invoice for services in JUL</t>
        </is>
      </c>
      <c r="E10" t="n">
        <v>8.5</v>
      </c>
    </row>
    <row r="11">
      <c r="B11" s="23" t="n">
        <v>45475</v>
      </c>
      <c r="C11" t="inlineStr">
        <is>
          <t>Q3007</t>
        </is>
      </c>
      <c r="D11" t="inlineStr">
        <is>
          <t>Invoice for services in JUL</t>
        </is>
      </c>
      <c r="E11" t="n">
        <v>19.78</v>
      </c>
    </row>
    <row r="12">
      <c r="B12" s="23" t="n">
        <v>45475</v>
      </c>
      <c r="C12" t="inlineStr">
        <is>
          <t>Q3008</t>
        </is>
      </c>
      <c r="D12" t="inlineStr">
        <is>
          <t>Invoice for services in JUL</t>
        </is>
      </c>
      <c r="E12" t="n">
        <v>174.36</v>
      </c>
    </row>
    <row r="13">
      <c r="B13" s="23" t="n">
        <v>45475</v>
      </c>
      <c r="C13" t="inlineStr">
        <is>
          <t>Q3009</t>
        </is>
      </c>
      <c r="D13" t="inlineStr">
        <is>
          <t>Invoice for services in JUL</t>
        </is>
      </c>
      <c r="E13" t="n">
        <v>700</v>
      </c>
    </row>
    <row r="14">
      <c r="B14" s="23" t="n">
        <v>45476</v>
      </c>
      <c r="C14" t="inlineStr">
        <is>
          <t>Q3010</t>
        </is>
      </c>
      <c r="D14" t="inlineStr">
        <is>
          <t>Invoice for services in JUL</t>
        </is>
      </c>
      <c r="E14" t="n">
        <v>3.7</v>
      </c>
    </row>
    <row r="15">
      <c r="B15" s="23" t="n">
        <v>45476</v>
      </c>
      <c r="C15" t="inlineStr">
        <is>
          <t>Q3011</t>
        </is>
      </c>
      <c r="D15" t="inlineStr">
        <is>
          <t>Invoice for services in JUL</t>
        </is>
      </c>
      <c r="E15" t="n">
        <v>25.1</v>
      </c>
    </row>
    <row r="16">
      <c r="B16" s="23" t="n">
        <v>45477</v>
      </c>
      <c r="C16" t="inlineStr">
        <is>
          <t>Q3012</t>
        </is>
      </c>
      <c r="D16" t="inlineStr">
        <is>
          <t>Invoice for services in JUL</t>
        </is>
      </c>
      <c r="E16" t="n">
        <v>2.8</v>
      </c>
    </row>
    <row r="17">
      <c r="B17" s="23" t="n">
        <v>45477</v>
      </c>
      <c r="C17" t="inlineStr">
        <is>
          <t>Q3013</t>
        </is>
      </c>
      <c r="D17" t="inlineStr">
        <is>
          <t>Invoice for services in JUL</t>
        </is>
      </c>
      <c r="E17" t="n">
        <v>1.8</v>
      </c>
    </row>
    <row r="18">
      <c r="B18" s="23" t="n">
        <v>45477</v>
      </c>
      <c r="C18" t="inlineStr">
        <is>
          <t>Q3014</t>
        </is>
      </c>
      <c r="D18" t="inlineStr">
        <is>
          <t>Invoice for services in JUL</t>
        </is>
      </c>
      <c r="E18" t="n">
        <v>4.65</v>
      </c>
    </row>
    <row r="19">
      <c r="B19" s="23" t="n">
        <v>45477</v>
      </c>
      <c r="C19" t="inlineStr">
        <is>
          <t>Q3015</t>
        </is>
      </c>
      <c r="D19" t="inlineStr">
        <is>
          <t>Invoice for services in JUL</t>
        </is>
      </c>
      <c r="E19" t="n">
        <v>1.05</v>
      </c>
    </row>
    <row r="20">
      <c r="B20" s="23" t="n">
        <v>45478</v>
      </c>
      <c r="C20" t="inlineStr">
        <is>
          <t>Q3016</t>
        </is>
      </c>
      <c r="D20" t="inlineStr">
        <is>
          <t>Invoice for services in JUL</t>
        </is>
      </c>
      <c r="E20" t="n">
        <v>6.9</v>
      </c>
    </row>
    <row r="21">
      <c r="B21" s="23" t="n">
        <v>45478</v>
      </c>
      <c r="C21" t="inlineStr">
        <is>
          <t>Q3017</t>
        </is>
      </c>
      <c r="D21" t="inlineStr">
        <is>
          <t>Invoice for services in JUL</t>
        </is>
      </c>
      <c r="E21" t="n">
        <v>10.8</v>
      </c>
    </row>
    <row r="22">
      <c r="B22" s="23" t="n">
        <v>45478</v>
      </c>
      <c r="C22" t="inlineStr">
        <is>
          <t>Q3018</t>
        </is>
      </c>
      <c r="D22" t="inlineStr">
        <is>
          <t>Invoice for services in JUL</t>
        </is>
      </c>
      <c r="E22" t="n">
        <v>1.65</v>
      </c>
    </row>
    <row r="23">
      <c r="B23" s="23" t="n">
        <v>45478</v>
      </c>
      <c r="C23" t="inlineStr">
        <is>
          <t>Q3019</t>
        </is>
      </c>
      <c r="D23" t="inlineStr">
        <is>
          <t>Invoice for services in JUL</t>
        </is>
      </c>
      <c r="E23" t="n">
        <v>6</v>
      </c>
    </row>
    <row r="24">
      <c r="B24" s="23" t="n">
        <v>45478</v>
      </c>
      <c r="C24" t="inlineStr">
        <is>
          <t>Q3020</t>
        </is>
      </c>
      <c r="D24" t="inlineStr">
        <is>
          <t>Invoice for services in JUL</t>
        </is>
      </c>
      <c r="E24" t="n">
        <v>8.75</v>
      </c>
    </row>
    <row r="25">
      <c r="B25" s="23" t="n">
        <v>45478</v>
      </c>
      <c r="C25" t="inlineStr">
        <is>
          <t>Q3021</t>
        </is>
      </c>
      <c r="D25" t="inlineStr">
        <is>
          <t>Invoice for services in JUL</t>
        </is>
      </c>
      <c r="E25" t="n">
        <v>7.67</v>
      </c>
    </row>
    <row r="26">
      <c r="B26" s="23" t="n">
        <v>45479</v>
      </c>
      <c r="C26" t="inlineStr">
        <is>
          <t>Q3022</t>
        </is>
      </c>
      <c r="D26" t="inlineStr">
        <is>
          <t>Invoice for services in JUL</t>
        </is>
      </c>
      <c r="E26" t="n">
        <v>3.5</v>
      </c>
    </row>
    <row r="27">
      <c r="B27" s="23" t="n">
        <v>45479</v>
      </c>
      <c r="C27" t="inlineStr">
        <is>
          <t>Q3023</t>
        </is>
      </c>
      <c r="D27" t="inlineStr">
        <is>
          <t>Invoice for services in JUL</t>
        </is>
      </c>
      <c r="E27" t="n">
        <v>4.1</v>
      </c>
    </row>
    <row r="28">
      <c r="B28" s="23" t="n">
        <v>45480</v>
      </c>
      <c r="C28" t="inlineStr">
        <is>
          <t>Q3024</t>
        </is>
      </c>
      <c r="D28" t="inlineStr">
        <is>
          <t>Invoice for services in JUL</t>
        </is>
      </c>
      <c r="E28" t="n">
        <v>1.9</v>
      </c>
    </row>
    <row r="29">
      <c r="B29" s="23" t="n">
        <v>45480</v>
      </c>
      <c r="C29" t="inlineStr">
        <is>
          <t>Q3025</t>
        </is>
      </c>
      <c r="D29" t="inlineStr">
        <is>
          <t>Invoice for services in JUL</t>
        </is>
      </c>
      <c r="E29" t="n">
        <v>3.5</v>
      </c>
    </row>
    <row r="30">
      <c r="B30" s="23" t="n">
        <v>45480</v>
      </c>
      <c r="C30" t="inlineStr">
        <is>
          <t>Q3026</t>
        </is>
      </c>
      <c r="D30" t="inlineStr">
        <is>
          <t>Invoice for services in JUL</t>
        </is>
      </c>
      <c r="E30" t="n">
        <v>4.5</v>
      </c>
    </row>
    <row r="31">
      <c r="B31" s="23" t="n">
        <v>45480</v>
      </c>
      <c r="C31" t="inlineStr">
        <is>
          <t>Q3027</t>
        </is>
      </c>
      <c r="D31" t="inlineStr">
        <is>
          <t>Invoice for services in JUL</t>
        </is>
      </c>
      <c r="E31" t="n">
        <v>9.859999999999999</v>
      </c>
    </row>
    <row r="32">
      <c r="B32" s="23" t="n">
        <v>45480</v>
      </c>
      <c r="C32" t="inlineStr">
        <is>
          <t>Q3028</t>
        </is>
      </c>
      <c r="D32" t="inlineStr">
        <is>
          <t>Invoice for services in JUL</t>
        </is>
      </c>
      <c r="E32" t="n">
        <v>1.9</v>
      </c>
    </row>
    <row r="33">
      <c r="B33" s="23" t="n">
        <v>45481</v>
      </c>
      <c r="C33" t="inlineStr">
        <is>
          <t>Q3029</t>
        </is>
      </c>
      <c r="D33" t="inlineStr">
        <is>
          <t>Invoice for services in JUL</t>
        </is>
      </c>
      <c r="E33" t="n">
        <v>3.5</v>
      </c>
    </row>
    <row r="34">
      <c r="B34" s="23" t="n">
        <v>45482</v>
      </c>
      <c r="C34" t="inlineStr">
        <is>
          <t>Q3030</t>
        </is>
      </c>
      <c r="D34" t="inlineStr">
        <is>
          <t>Invoice for services in JUL</t>
        </is>
      </c>
      <c r="E34" t="n">
        <v>23.5</v>
      </c>
    </row>
    <row r="35">
      <c r="B35" s="23" t="n">
        <v>45483</v>
      </c>
      <c r="C35" t="inlineStr">
        <is>
          <t>Q3031</t>
        </is>
      </c>
      <c r="D35" t="inlineStr">
        <is>
          <t>Invoice for services in JUL</t>
        </is>
      </c>
      <c r="E35" t="n">
        <v>9.9</v>
      </c>
    </row>
    <row r="36">
      <c r="B36" s="23" t="n">
        <v>45483</v>
      </c>
      <c r="C36" t="inlineStr">
        <is>
          <t>Q3032</t>
        </is>
      </c>
      <c r="D36" t="inlineStr">
        <is>
          <t>Invoice for services in JUL</t>
        </is>
      </c>
      <c r="E36" t="n">
        <v>1.75</v>
      </c>
    </row>
    <row r="37">
      <c r="B37" s="23" t="n">
        <v>45483</v>
      </c>
      <c r="C37" t="inlineStr">
        <is>
          <t>Q3033</t>
        </is>
      </c>
      <c r="D37" t="inlineStr">
        <is>
          <t>Invoice for services in JUL</t>
        </is>
      </c>
      <c r="E37" t="n">
        <v>13.85</v>
      </c>
    </row>
    <row r="38">
      <c r="B38" s="23" t="n">
        <v>45483</v>
      </c>
      <c r="C38" t="inlineStr">
        <is>
          <t>Q3034</t>
        </is>
      </c>
      <c r="D38" t="inlineStr">
        <is>
          <t>Invoice for services in JUL</t>
        </is>
      </c>
      <c r="E38" t="n">
        <v>667.29</v>
      </c>
    </row>
    <row r="39">
      <c r="B39" s="23" t="n">
        <v>45483</v>
      </c>
      <c r="C39" t="inlineStr">
        <is>
          <t>Q3035</t>
        </is>
      </c>
      <c r="D39" t="inlineStr">
        <is>
          <t>Invoice for services in JUL</t>
        </is>
      </c>
      <c r="E39" t="n">
        <v>15.87</v>
      </c>
    </row>
    <row r="40">
      <c r="B40" s="23" t="n">
        <v>45484</v>
      </c>
      <c r="C40" t="inlineStr">
        <is>
          <t>Q3036</t>
        </is>
      </c>
      <c r="D40" t="inlineStr">
        <is>
          <t>Invoice for services in JUL</t>
        </is>
      </c>
      <c r="E40" t="n">
        <v>1.75</v>
      </c>
    </row>
    <row r="41">
      <c r="B41" s="23" t="n">
        <v>45484</v>
      </c>
      <c r="C41" t="inlineStr">
        <is>
          <t>Q3037</t>
        </is>
      </c>
      <c r="D41" t="inlineStr">
        <is>
          <t>Invoice for services in JUL</t>
        </is>
      </c>
      <c r="E41" t="n">
        <v>4.25</v>
      </c>
    </row>
    <row r="42">
      <c r="B42" s="23" t="n">
        <v>45484</v>
      </c>
      <c r="C42" t="inlineStr">
        <is>
          <t>Q3038</t>
        </is>
      </c>
      <c r="D42" t="inlineStr">
        <is>
          <t>Invoice for services in JUL</t>
        </is>
      </c>
      <c r="E42" t="n">
        <v>72</v>
      </c>
    </row>
    <row r="43">
      <c r="B43" s="23" t="n">
        <v>45484</v>
      </c>
      <c r="C43" t="inlineStr">
        <is>
          <t>Q3039</t>
        </is>
      </c>
      <c r="D43" t="inlineStr">
        <is>
          <t>Invoice for services in JUL</t>
        </is>
      </c>
      <c r="E43" t="n">
        <v>19</v>
      </c>
    </row>
    <row r="44">
      <c r="B44" s="23" t="n">
        <v>45484</v>
      </c>
      <c r="C44" t="inlineStr">
        <is>
          <t>Q3040</t>
        </is>
      </c>
      <c r="D44" t="inlineStr">
        <is>
          <t>Invoice for services in JUL</t>
        </is>
      </c>
      <c r="E44" t="n">
        <v>5.25</v>
      </c>
    </row>
    <row r="45">
      <c r="B45" s="23" t="n">
        <v>45484</v>
      </c>
      <c r="C45" t="inlineStr">
        <is>
          <t>Q3041</t>
        </is>
      </c>
      <c r="D45" t="inlineStr">
        <is>
          <t>Invoice for services in JUL</t>
        </is>
      </c>
      <c r="E45" t="n">
        <v>1.5</v>
      </c>
    </row>
    <row r="46">
      <c r="B46" s="23" t="n">
        <v>45484</v>
      </c>
      <c r="C46" t="inlineStr">
        <is>
          <t>Q3042</t>
        </is>
      </c>
      <c r="D46" t="inlineStr">
        <is>
          <t>Invoice for services in JUL</t>
        </is>
      </c>
      <c r="E46" t="n">
        <v>9.9</v>
      </c>
    </row>
    <row r="47">
      <c r="B47" s="23" t="n">
        <v>45484</v>
      </c>
      <c r="C47" t="inlineStr">
        <is>
          <t>Q3043</t>
        </is>
      </c>
      <c r="D47" t="inlineStr">
        <is>
          <t>Invoice for services in JUL</t>
        </is>
      </c>
      <c r="E47" t="n">
        <v>6.05</v>
      </c>
    </row>
    <row r="48">
      <c r="B48" s="23" t="n">
        <v>45484</v>
      </c>
      <c r="C48" t="inlineStr">
        <is>
          <t>Q3044</t>
        </is>
      </c>
      <c r="D48" t="inlineStr">
        <is>
          <t>Invoice for services in JUL</t>
        </is>
      </c>
      <c r="E48" t="n">
        <v>4.7</v>
      </c>
    </row>
    <row r="49">
      <c r="B49" s="23" t="n">
        <v>45485</v>
      </c>
      <c r="C49" t="inlineStr">
        <is>
          <t>Q3045</t>
        </is>
      </c>
      <c r="D49" t="inlineStr">
        <is>
          <t>Invoice for services in JUL</t>
        </is>
      </c>
      <c r="E49" t="n">
        <v>4.15</v>
      </c>
    </row>
    <row r="50">
      <c r="B50" s="23" t="n">
        <v>45485</v>
      </c>
      <c r="C50" t="inlineStr">
        <is>
          <t>Q3046</t>
        </is>
      </c>
      <c r="D50" t="inlineStr">
        <is>
          <t>Invoice for services in JUL</t>
        </is>
      </c>
      <c r="E50" t="n">
        <v>5</v>
      </c>
    </row>
    <row r="51">
      <c r="B51" s="23" t="n">
        <v>45485</v>
      </c>
      <c r="C51" t="inlineStr">
        <is>
          <t>Q3047</t>
        </is>
      </c>
      <c r="D51" t="inlineStr">
        <is>
          <t>Invoice for services in JUL</t>
        </is>
      </c>
      <c r="E51" t="n">
        <v>1.75</v>
      </c>
    </row>
    <row r="52">
      <c r="B52" s="23" t="n">
        <v>45485</v>
      </c>
      <c r="C52" t="inlineStr">
        <is>
          <t>Q3048</t>
        </is>
      </c>
      <c r="D52" t="inlineStr">
        <is>
          <t>Invoice for services in JUL</t>
        </is>
      </c>
      <c r="E52" t="n">
        <v>3.75</v>
      </c>
    </row>
    <row r="53">
      <c r="B53" s="23" t="n">
        <v>45485</v>
      </c>
      <c r="C53" t="inlineStr">
        <is>
          <t>Q3049</t>
        </is>
      </c>
      <c r="D53" t="inlineStr">
        <is>
          <t>Invoice for services in JUL</t>
        </is>
      </c>
      <c r="E53" t="n">
        <v>6.56</v>
      </c>
    </row>
    <row r="54">
      <c r="B54" s="23" t="n">
        <v>45486</v>
      </c>
      <c r="C54" t="inlineStr">
        <is>
          <t>Q3050</t>
        </is>
      </c>
      <c r="D54" t="inlineStr">
        <is>
          <t>Invoice for services in JUL</t>
        </is>
      </c>
      <c r="E54" t="n">
        <v>1.75</v>
      </c>
    </row>
    <row r="55">
      <c r="B55" s="23" t="n">
        <v>45486</v>
      </c>
      <c r="C55" t="inlineStr">
        <is>
          <t>Q3051</t>
        </is>
      </c>
      <c r="D55" t="inlineStr">
        <is>
          <t>Invoice for services in JUL</t>
        </is>
      </c>
      <c r="E55" t="n">
        <v>1.9</v>
      </c>
    </row>
    <row r="56">
      <c r="B56" s="23" t="n">
        <v>45486</v>
      </c>
      <c r="C56" t="inlineStr">
        <is>
          <t>Q3052</t>
        </is>
      </c>
      <c r="D56" t="inlineStr">
        <is>
          <t>Invoice for services in JUL</t>
        </is>
      </c>
      <c r="E56" t="n">
        <v>5.65</v>
      </c>
    </row>
    <row r="57">
      <c r="B57" s="23" t="n">
        <v>45487</v>
      </c>
      <c r="C57" t="inlineStr">
        <is>
          <t>Q3053</t>
        </is>
      </c>
      <c r="D57" t="inlineStr">
        <is>
          <t>Invoice for services in JUL</t>
        </is>
      </c>
      <c r="E57" t="n">
        <v>33.8</v>
      </c>
    </row>
    <row r="58">
      <c r="B58" s="23" t="n">
        <v>45487</v>
      </c>
      <c r="C58" t="inlineStr">
        <is>
          <t>Q3054</t>
        </is>
      </c>
      <c r="D58" t="inlineStr">
        <is>
          <t>Invoice for services in JUL</t>
        </is>
      </c>
      <c r="E58" t="n">
        <v>1.75</v>
      </c>
    </row>
    <row r="59">
      <c r="B59" s="23" t="n">
        <v>45487</v>
      </c>
      <c r="C59" t="inlineStr">
        <is>
          <t>Q3055</t>
        </is>
      </c>
      <c r="D59" t="inlineStr">
        <is>
          <t>Invoice for services in JUL</t>
        </is>
      </c>
      <c r="E59" t="n">
        <v>3.5</v>
      </c>
    </row>
    <row r="60">
      <c r="B60" s="23" t="n">
        <v>45487</v>
      </c>
      <c r="C60" t="inlineStr">
        <is>
          <t>Q3056</t>
        </is>
      </c>
      <c r="D60" t="inlineStr">
        <is>
          <t>Invoice for services in JUL</t>
        </is>
      </c>
      <c r="E60" t="n">
        <v>1.8</v>
      </c>
    </row>
    <row r="61">
      <c r="B61" s="23" t="n">
        <v>45487</v>
      </c>
      <c r="C61" t="inlineStr">
        <is>
          <t>Q3057</t>
        </is>
      </c>
      <c r="D61" t="inlineStr">
        <is>
          <t>Invoice for services in JUL</t>
        </is>
      </c>
      <c r="E61" t="n">
        <v>19.98</v>
      </c>
    </row>
    <row r="62">
      <c r="B62" s="23" t="n">
        <v>45487</v>
      </c>
      <c r="C62" t="inlineStr">
        <is>
          <t>Q3058</t>
        </is>
      </c>
      <c r="D62" t="inlineStr">
        <is>
          <t>Invoice for services in JUL</t>
        </is>
      </c>
      <c r="E62" t="n">
        <v>112.99</v>
      </c>
    </row>
    <row r="63">
      <c r="B63" s="23" t="n">
        <v>45487</v>
      </c>
      <c r="C63" t="inlineStr">
        <is>
          <t>Q3059</t>
        </is>
      </c>
      <c r="D63" t="inlineStr">
        <is>
          <t>Invoice for services in JUL</t>
        </is>
      </c>
      <c r="E63" t="n">
        <v>33.86</v>
      </c>
    </row>
    <row r="64">
      <c r="B64" s="23" t="n">
        <v>45488</v>
      </c>
      <c r="C64" t="inlineStr">
        <is>
          <t>Q3060</t>
        </is>
      </c>
      <c r="D64" t="inlineStr">
        <is>
          <t>Invoice for services in JUL</t>
        </is>
      </c>
      <c r="E64" t="n">
        <v>3.5</v>
      </c>
    </row>
    <row r="65">
      <c r="B65" s="23" t="n">
        <v>45488</v>
      </c>
      <c r="C65" t="inlineStr">
        <is>
          <t>Q3061</t>
        </is>
      </c>
      <c r="D65" t="inlineStr">
        <is>
          <t>Invoice for services in JUL</t>
        </is>
      </c>
      <c r="E65" t="n">
        <v>3.29</v>
      </c>
    </row>
    <row r="66">
      <c r="B66" s="23" t="n">
        <v>45488</v>
      </c>
      <c r="C66" t="inlineStr">
        <is>
          <t>Q3062</t>
        </is>
      </c>
      <c r="D66" t="inlineStr">
        <is>
          <t>Invoice for services in JUL</t>
        </is>
      </c>
      <c r="E66" t="n">
        <v>1.79</v>
      </c>
    </row>
    <row r="67">
      <c r="B67" s="23" t="n">
        <v>45489</v>
      </c>
      <c r="C67" t="inlineStr">
        <is>
          <t>Q3063</t>
        </is>
      </c>
      <c r="D67" t="inlineStr">
        <is>
          <t>Invoice for services in JUL</t>
        </is>
      </c>
      <c r="E67" t="n">
        <v>5.5</v>
      </c>
    </row>
    <row r="68">
      <c r="B68" s="23" t="n">
        <v>45489</v>
      </c>
      <c r="C68" t="inlineStr">
        <is>
          <t>Q3064</t>
        </is>
      </c>
      <c r="D68" t="inlineStr">
        <is>
          <t>Invoice for services in JUL</t>
        </is>
      </c>
      <c r="E68" t="n">
        <v>1.8</v>
      </c>
    </row>
    <row r="69">
      <c r="B69" s="23" t="n">
        <v>45489</v>
      </c>
      <c r="C69" t="inlineStr">
        <is>
          <t>Q3065</t>
        </is>
      </c>
      <c r="D69" t="inlineStr">
        <is>
          <t>Invoice for services in JUL</t>
        </is>
      </c>
      <c r="E69" t="n">
        <v>9.48</v>
      </c>
    </row>
    <row r="70">
      <c r="B70" s="23" t="n">
        <v>45490</v>
      </c>
      <c r="C70" t="inlineStr">
        <is>
          <t>Q3066</t>
        </is>
      </c>
      <c r="D70" t="inlineStr">
        <is>
          <t>Invoice for services in JUL</t>
        </is>
      </c>
      <c r="E70" t="n">
        <v>2.8</v>
      </c>
    </row>
    <row r="71">
      <c r="B71" s="23" t="n">
        <v>45490</v>
      </c>
      <c r="C71" t="inlineStr">
        <is>
          <t>Q3067</t>
        </is>
      </c>
      <c r="D71" t="inlineStr">
        <is>
          <t>Invoice for services in JUL</t>
        </is>
      </c>
      <c r="E71" t="n">
        <v>9.15</v>
      </c>
    </row>
    <row r="72">
      <c r="B72" s="23" t="n">
        <v>45490</v>
      </c>
      <c r="C72" t="inlineStr">
        <is>
          <t>Q3068</t>
        </is>
      </c>
      <c r="D72" t="inlineStr">
        <is>
          <t>Invoice for services in JUL</t>
        </is>
      </c>
      <c r="E72" t="n">
        <v>22.7</v>
      </c>
    </row>
    <row r="73">
      <c r="B73" s="23" t="n">
        <v>45490</v>
      </c>
      <c r="C73" t="inlineStr">
        <is>
          <t>Q3069</t>
        </is>
      </c>
      <c r="D73" t="inlineStr">
        <is>
          <t>Invoice for services in JUL</t>
        </is>
      </c>
      <c r="E73" t="n">
        <v>70</v>
      </c>
    </row>
    <row r="74">
      <c r="B74" s="23" t="n">
        <v>45491</v>
      </c>
      <c r="C74" t="inlineStr">
        <is>
          <t>Q3070</t>
        </is>
      </c>
      <c r="D74" t="inlineStr">
        <is>
          <t>Invoice for services in JUL</t>
        </is>
      </c>
      <c r="E74" t="n">
        <v>40.8</v>
      </c>
    </row>
    <row r="75">
      <c r="B75" s="23" t="n">
        <v>45491</v>
      </c>
      <c r="C75" t="inlineStr">
        <is>
          <t>Q3071</t>
        </is>
      </c>
      <c r="D75" t="inlineStr">
        <is>
          <t>Invoice for services in JUL</t>
        </is>
      </c>
      <c r="E75" t="n">
        <v>1.25</v>
      </c>
    </row>
    <row r="76">
      <c r="B76" s="23" t="n">
        <v>45491</v>
      </c>
      <c r="C76" t="inlineStr">
        <is>
          <t>Q3072</t>
        </is>
      </c>
      <c r="D76" t="inlineStr">
        <is>
          <t>Invoice for services in JUL</t>
        </is>
      </c>
      <c r="E76" t="n">
        <v>4.3</v>
      </c>
    </row>
    <row r="77">
      <c r="B77" s="23" t="n">
        <v>45491</v>
      </c>
      <c r="C77" t="inlineStr">
        <is>
          <t>Q3073</t>
        </is>
      </c>
      <c r="D77" t="inlineStr">
        <is>
          <t>Invoice for services in JUL</t>
        </is>
      </c>
      <c r="E77" t="n">
        <v>1.65</v>
      </c>
    </row>
    <row r="78">
      <c r="B78" s="23" t="n">
        <v>45492</v>
      </c>
      <c r="C78" t="inlineStr">
        <is>
          <t>Q3074</t>
        </is>
      </c>
      <c r="D78" t="inlineStr">
        <is>
          <t>Invoice for services in JUL</t>
        </is>
      </c>
      <c r="E78" t="n">
        <v>1.95</v>
      </c>
    </row>
    <row r="79">
      <c r="B79" s="23" t="n">
        <v>45492</v>
      </c>
      <c r="C79" t="inlineStr">
        <is>
          <t>Q3075</t>
        </is>
      </c>
      <c r="D79" t="inlineStr">
        <is>
          <t>Invoice for services in JUL</t>
        </is>
      </c>
      <c r="E79" t="n">
        <v>1.75</v>
      </c>
    </row>
    <row r="80">
      <c r="B80" s="23" t="n">
        <v>45492</v>
      </c>
      <c r="C80" t="inlineStr">
        <is>
          <t>Q3076</t>
        </is>
      </c>
      <c r="D80" t="inlineStr">
        <is>
          <t>Invoice for services in JUL</t>
        </is>
      </c>
      <c r="E80" t="n">
        <v>4.3</v>
      </c>
    </row>
    <row r="81">
      <c r="B81" s="23" t="n">
        <v>45492</v>
      </c>
      <c r="C81" t="inlineStr">
        <is>
          <t>Q3077</t>
        </is>
      </c>
      <c r="D81" t="inlineStr">
        <is>
          <t>Invoice for services in JUL</t>
        </is>
      </c>
      <c r="E81" t="n">
        <v>2.2</v>
      </c>
    </row>
    <row r="82">
      <c r="B82" s="23" t="n">
        <v>45493</v>
      </c>
      <c r="C82" t="inlineStr">
        <is>
          <t>Q3078</t>
        </is>
      </c>
      <c r="D82" t="inlineStr">
        <is>
          <t>Invoice for services in JUL</t>
        </is>
      </c>
      <c r="E82" t="n">
        <v>3.5</v>
      </c>
    </row>
    <row r="83">
      <c r="B83" s="23" t="n">
        <v>45493</v>
      </c>
      <c r="C83" t="inlineStr">
        <is>
          <t>Q3079</t>
        </is>
      </c>
      <c r="D83" t="inlineStr">
        <is>
          <t>Invoice for services in JUL</t>
        </is>
      </c>
      <c r="E83" t="n">
        <v>5</v>
      </c>
    </row>
    <row r="84">
      <c r="B84" s="23" t="n">
        <v>45493</v>
      </c>
      <c r="C84" t="inlineStr">
        <is>
          <t>Q3080</t>
        </is>
      </c>
      <c r="D84" t="inlineStr">
        <is>
          <t>Invoice for services in JUL</t>
        </is>
      </c>
      <c r="E84" t="n">
        <v>3.29</v>
      </c>
    </row>
    <row r="85">
      <c r="B85" s="23" t="n">
        <v>45493</v>
      </c>
      <c r="C85" t="inlineStr">
        <is>
          <t>Q3081</t>
        </is>
      </c>
      <c r="D85" t="inlineStr">
        <is>
          <t>Invoice for services in JUL</t>
        </is>
      </c>
      <c r="E85" t="n">
        <v>12</v>
      </c>
    </row>
    <row r="86">
      <c r="B86" s="23" t="n">
        <v>45494</v>
      </c>
      <c r="C86" t="inlineStr">
        <is>
          <t>Q3082</t>
        </is>
      </c>
      <c r="D86" t="inlineStr">
        <is>
          <t>Invoice for services in JUL</t>
        </is>
      </c>
      <c r="E86" t="n">
        <v>19.5</v>
      </c>
    </row>
    <row r="87">
      <c r="B87" s="23" t="n">
        <v>45494</v>
      </c>
      <c r="C87" t="inlineStr">
        <is>
          <t>Q3083</t>
        </is>
      </c>
      <c r="D87" t="inlineStr">
        <is>
          <t>Invoice for services in JUL</t>
        </is>
      </c>
      <c r="E87" t="n">
        <v>5.25</v>
      </c>
    </row>
    <row r="88">
      <c r="B88" s="23" t="n">
        <v>45494</v>
      </c>
      <c r="C88" t="inlineStr">
        <is>
          <t>Q3084</t>
        </is>
      </c>
      <c r="D88" t="inlineStr">
        <is>
          <t>Invoice for services in JUL</t>
        </is>
      </c>
      <c r="E88" t="n">
        <v>10.5</v>
      </c>
    </row>
    <row r="89">
      <c r="B89" s="23" t="n">
        <v>45494</v>
      </c>
      <c r="C89" t="inlineStr">
        <is>
          <t>Q3085</t>
        </is>
      </c>
      <c r="D89" t="inlineStr">
        <is>
          <t>Invoice for services in JUL</t>
        </is>
      </c>
      <c r="E89" t="n">
        <v>20.8</v>
      </c>
    </row>
    <row r="90">
      <c r="B90" s="23" t="n">
        <v>45494</v>
      </c>
      <c r="C90" t="inlineStr">
        <is>
          <t>Q3086</t>
        </is>
      </c>
      <c r="D90" t="inlineStr">
        <is>
          <t>Invoice for services in JUL</t>
        </is>
      </c>
      <c r="E90" t="n">
        <v>3.75</v>
      </c>
    </row>
    <row r="91">
      <c r="B91" s="23" t="n">
        <v>45494</v>
      </c>
      <c r="C91" t="inlineStr">
        <is>
          <t>Q3087</t>
        </is>
      </c>
      <c r="D91" t="inlineStr">
        <is>
          <t>Invoice for services in JUL</t>
        </is>
      </c>
      <c r="E91" t="n">
        <v>28</v>
      </c>
    </row>
    <row r="92">
      <c r="B92" s="23" t="n">
        <v>45495</v>
      </c>
      <c r="C92" t="inlineStr">
        <is>
          <t>Q3088</t>
        </is>
      </c>
      <c r="D92" t="inlineStr">
        <is>
          <t>Invoice for services in JUL</t>
        </is>
      </c>
      <c r="E92" t="n">
        <v>6.35</v>
      </c>
    </row>
    <row r="93">
      <c r="B93" s="23" t="n">
        <v>45495</v>
      </c>
      <c r="C93" t="inlineStr">
        <is>
          <t>Q3089</t>
        </is>
      </c>
      <c r="D93" t="inlineStr">
        <is>
          <t>Invoice for services in JUL</t>
        </is>
      </c>
      <c r="E93" t="n">
        <v>3.5</v>
      </c>
    </row>
    <row r="94">
      <c r="B94" s="23" t="n">
        <v>45495</v>
      </c>
      <c r="C94" t="inlineStr">
        <is>
          <t>Q3090</t>
        </is>
      </c>
      <c r="D94" t="inlineStr">
        <is>
          <t>Invoice for services in JUL</t>
        </is>
      </c>
      <c r="E94" t="n">
        <v>5.23</v>
      </c>
    </row>
    <row r="95">
      <c r="B95" s="23" t="n">
        <v>45495</v>
      </c>
      <c r="C95" t="inlineStr">
        <is>
          <t>Q3091</t>
        </is>
      </c>
      <c r="D95" t="inlineStr">
        <is>
          <t>Invoice for services in JUL</t>
        </is>
      </c>
      <c r="E95" t="n">
        <v>5.65</v>
      </c>
    </row>
    <row r="96">
      <c r="B96" s="23" t="n">
        <v>45495</v>
      </c>
      <c r="C96" t="inlineStr">
        <is>
          <t>Q3092</t>
        </is>
      </c>
      <c r="D96" t="inlineStr">
        <is>
          <t>Invoice for services in JUL</t>
        </is>
      </c>
      <c r="E96" t="n">
        <v>32.88</v>
      </c>
    </row>
    <row r="97">
      <c r="B97" s="23" t="n">
        <v>45496</v>
      </c>
      <c r="C97" t="inlineStr">
        <is>
          <t>Q3093</t>
        </is>
      </c>
      <c r="D97" t="inlineStr">
        <is>
          <t>Invoice for services in JUL</t>
        </is>
      </c>
      <c r="E97" t="n">
        <v>10.1</v>
      </c>
    </row>
    <row r="98">
      <c r="B98" s="23" t="n">
        <v>45496</v>
      </c>
      <c r="C98" t="inlineStr">
        <is>
          <t>Q3094</t>
        </is>
      </c>
      <c r="D98" t="inlineStr">
        <is>
          <t>Invoice for services in JUL</t>
        </is>
      </c>
      <c r="E98" t="n">
        <v>32.46</v>
      </c>
    </row>
    <row r="99">
      <c r="B99" s="23" t="n">
        <v>45497</v>
      </c>
      <c r="C99" t="inlineStr">
        <is>
          <t>Q3095</t>
        </is>
      </c>
      <c r="D99" t="inlineStr">
        <is>
          <t>Invoice for services in JUL</t>
        </is>
      </c>
      <c r="E99" t="n">
        <v>32.99</v>
      </c>
    </row>
    <row r="100">
      <c r="B100" s="23" t="n">
        <v>45497</v>
      </c>
      <c r="C100" t="inlineStr">
        <is>
          <t>Q3096</t>
        </is>
      </c>
      <c r="D100" t="inlineStr">
        <is>
          <t>Invoice for services in JUL</t>
        </is>
      </c>
      <c r="E100" t="n">
        <v>43</v>
      </c>
    </row>
    <row r="101">
      <c r="B101" s="23" t="n">
        <v>45497</v>
      </c>
      <c r="C101" t="inlineStr">
        <is>
          <t>Q3097</t>
        </is>
      </c>
      <c r="D101" t="inlineStr">
        <is>
          <t>Invoice for services in JUL</t>
        </is>
      </c>
      <c r="E101" t="n">
        <v>80.95</v>
      </c>
    </row>
    <row r="102">
      <c r="B102" s="23" t="n">
        <v>45497</v>
      </c>
      <c r="C102" t="inlineStr">
        <is>
          <t>Q3098</t>
        </is>
      </c>
      <c r="D102" t="inlineStr">
        <is>
          <t>Invoice for services in JUL</t>
        </is>
      </c>
      <c r="E102" t="n">
        <v>5.9</v>
      </c>
    </row>
    <row r="103">
      <c r="B103" s="23" t="n">
        <v>45497</v>
      </c>
      <c r="C103" t="inlineStr">
        <is>
          <t>Q3099</t>
        </is>
      </c>
      <c r="D103" t="inlineStr">
        <is>
          <t>Invoice for services in JUL</t>
        </is>
      </c>
      <c r="E103" t="n">
        <v>1.69</v>
      </c>
    </row>
    <row r="104">
      <c r="B104" s="23" t="n">
        <v>45498</v>
      </c>
      <c r="C104" t="inlineStr">
        <is>
          <t>Q3100</t>
        </is>
      </c>
      <c r="D104" t="inlineStr">
        <is>
          <t>Invoice for services in JUL</t>
        </is>
      </c>
      <c r="E104" t="n">
        <v>2.3</v>
      </c>
    </row>
    <row r="105">
      <c r="B105" s="23" t="n">
        <v>45498</v>
      </c>
      <c r="C105" t="inlineStr">
        <is>
          <t>Q3101</t>
        </is>
      </c>
      <c r="D105" t="inlineStr">
        <is>
          <t>Invoice for services in JUL</t>
        </is>
      </c>
      <c r="E105" t="n">
        <v>89.04000000000001</v>
      </c>
    </row>
    <row r="106">
      <c r="B106" s="23" t="n">
        <v>45498</v>
      </c>
      <c r="C106" t="inlineStr">
        <is>
          <t>Q3102</t>
        </is>
      </c>
      <c r="D106" t="inlineStr">
        <is>
          <t>Invoice for services in JUL</t>
        </is>
      </c>
      <c r="E106" t="n">
        <v>6.75</v>
      </c>
    </row>
    <row r="107">
      <c r="B107" s="23" t="n">
        <v>45499</v>
      </c>
      <c r="C107" t="inlineStr">
        <is>
          <t>Q3103</t>
        </is>
      </c>
      <c r="D107" t="inlineStr">
        <is>
          <t>Invoice for services in JUL</t>
        </is>
      </c>
      <c r="E107" t="n">
        <v>16.6</v>
      </c>
    </row>
    <row r="108">
      <c r="B108" s="23" t="n">
        <v>45499</v>
      </c>
      <c r="C108" t="inlineStr">
        <is>
          <t>Q3104</t>
        </is>
      </c>
      <c r="D108" t="inlineStr">
        <is>
          <t>Invoice for services in JUL</t>
        </is>
      </c>
      <c r="E108" t="n">
        <v>33.44</v>
      </c>
    </row>
    <row r="109">
      <c r="B109" s="23" t="n">
        <v>45499</v>
      </c>
      <c r="C109" t="inlineStr">
        <is>
          <t>Q3105</t>
        </is>
      </c>
      <c r="D109" t="inlineStr">
        <is>
          <t>Invoice for services in JUL</t>
        </is>
      </c>
      <c r="E109" t="n">
        <v>5.5</v>
      </c>
    </row>
    <row r="110">
      <c r="B110" s="23" t="n">
        <v>45499</v>
      </c>
      <c r="C110" t="inlineStr">
        <is>
          <t>Q3106</t>
        </is>
      </c>
      <c r="D110" t="inlineStr">
        <is>
          <t>Invoice for services in JUL</t>
        </is>
      </c>
      <c r="E110" t="n">
        <v>3.5</v>
      </c>
    </row>
    <row r="111">
      <c r="B111" s="23" t="n">
        <v>45499</v>
      </c>
      <c r="C111" t="inlineStr">
        <is>
          <t>Q3107</t>
        </is>
      </c>
      <c r="D111" t="inlineStr">
        <is>
          <t>Invoice for services in JUL</t>
        </is>
      </c>
      <c r="E111" t="n">
        <v>2.9</v>
      </c>
    </row>
    <row r="112">
      <c r="B112" s="23" t="n">
        <v>45499</v>
      </c>
      <c r="C112" t="inlineStr">
        <is>
          <t>Q3108</t>
        </is>
      </c>
      <c r="D112" t="inlineStr">
        <is>
          <t>Invoice for services in JUL</t>
        </is>
      </c>
      <c r="E112" t="n">
        <v>1</v>
      </c>
    </row>
    <row r="113">
      <c r="B113" s="23" t="n">
        <v>45499</v>
      </c>
      <c r="C113" t="inlineStr">
        <is>
          <t>Q3109</t>
        </is>
      </c>
      <c r="D113" t="inlineStr">
        <is>
          <t>Invoice for services in JUL</t>
        </is>
      </c>
      <c r="E113" t="n">
        <v>4.32</v>
      </c>
    </row>
    <row r="114">
      <c r="B114" s="23" t="n">
        <v>45500</v>
      </c>
      <c r="C114" t="inlineStr">
        <is>
          <t>Q3110</t>
        </is>
      </c>
      <c r="D114" t="inlineStr">
        <is>
          <t>Invoice for services in JUL</t>
        </is>
      </c>
      <c r="E114" t="n">
        <v>5</v>
      </c>
    </row>
    <row r="115">
      <c r="B115" s="23" t="n">
        <v>45500</v>
      </c>
      <c r="C115" t="inlineStr">
        <is>
          <t>Q3111</t>
        </is>
      </c>
      <c r="D115" t="inlineStr">
        <is>
          <t>Invoice for services in JUL</t>
        </is>
      </c>
      <c r="E115" t="n">
        <v>3.5</v>
      </c>
    </row>
    <row r="116">
      <c r="B116" s="23" t="n">
        <v>45500</v>
      </c>
      <c r="C116" t="inlineStr">
        <is>
          <t>Q3112</t>
        </is>
      </c>
      <c r="D116" t="inlineStr">
        <is>
          <t>Invoice for services in JUL</t>
        </is>
      </c>
      <c r="E116" t="n">
        <v>3.75</v>
      </c>
    </row>
    <row r="117">
      <c r="B117" s="23" t="n">
        <v>45500</v>
      </c>
      <c r="C117" t="inlineStr">
        <is>
          <t>Q3113</t>
        </is>
      </c>
      <c r="D117" t="inlineStr">
        <is>
          <t>Invoice for services in JUL</t>
        </is>
      </c>
      <c r="E117" t="n">
        <v>28.92</v>
      </c>
    </row>
    <row r="118">
      <c r="B118" s="23" t="n">
        <v>45501</v>
      </c>
      <c r="C118" t="inlineStr">
        <is>
          <t>Q3114</t>
        </is>
      </c>
      <c r="D118" t="inlineStr">
        <is>
          <t>Invoice for services in JUL</t>
        </is>
      </c>
      <c r="E118" t="n">
        <v>7.15</v>
      </c>
    </row>
    <row r="119">
      <c r="B119" s="23" t="n">
        <v>45501</v>
      </c>
      <c r="C119" t="inlineStr">
        <is>
          <t>Q3115</t>
        </is>
      </c>
      <c r="D119" t="inlineStr">
        <is>
          <t>Invoice for services in JUL</t>
        </is>
      </c>
      <c r="E119" t="n">
        <v>1.9</v>
      </c>
    </row>
    <row r="120">
      <c r="B120" s="23" t="n">
        <v>45501</v>
      </c>
      <c r="C120" t="inlineStr">
        <is>
          <t>Q3116</t>
        </is>
      </c>
      <c r="D120" t="inlineStr">
        <is>
          <t>Invoice for services in JUL</t>
        </is>
      </c>
      <c r="E120" t="n">
        <v>2.9</v>
      </c>
    </row>
    <row r="121">
      <c r="B121" s="23" t="n">
        <v>45501</v>
      </c>
      <c r="C121" t="inlineStr">
        <is>
          <t>Q3117</t>
        </is>
      </c>
      <c r="D121" t="inlineStr">
        <is>
          <t>Invoice for services in JUL</t>
        </is>
      </c>
      <c r="E121" t="n">
        <v>5.5</v>
      </c>
    </row>
    <row r="122">
      <c r="B122" s="23" t="n">
        <v>45502</v>
      </c>
      <c r="C122" t="inlineStr">
        <is>
          <t>Q3118</t>
        </is>
      </c>
      <c r="D122" t="inlineStr">
        <is>
          <t>Invoice for services in JUL</t>
        </is>
      </c>
      <c r="E122" t="n">
        <v>1.75</v>
      </c>
    </row>
    <row r="123">
      <c r="B123" s="23" t="n">
        <v>45502</v>
      </c>
      <c r="C123" t="inlineStr">
        <is>
          <t>Q3119</t>
        </is>
      </c>
      <c r="D123" t="inlineStr">
        <is>
          <t>Invoice for services in JUL</t>
        </is>
      </c>
      <c r="E123" t="n">
        <v>56.54</v>
      </c>
    </row>
    <row r="124">
      <c r="B124" s="23" t="n">
        <v>45502</v>
      </c>
      <c r="C124" t="inlineStr">
        <is>
          <t>Q3120</t>
        </is>
      </c>
      <c r="D124" t="inlineStr">
        <is>
          <t>Invoice for services in JUL</t>
        </is>
      </c>
      <c r="E124" t="n">
        <v>6.84</v>
      </c>
    </row>
    <row r="125">
      <c r="B125" s="23" t="n">
        <v>45503</v>
      </c>
      <c r="C125" t="inlineStr">
        <is>
          <t>Q3121</t>
        </is>
      </c>
      <c r="D125" t="inlineStr">
        <is>
          <t>Invoice for services in JUL</t>
        </is>
      </c>
      <c r="E125" t="n">
        <v>1.75</v>
      </c>
    </row>
    <row r="126">
      <c r="B126" s="23" t="n">
        <v>45503</v>
      </c>
      <c r="C126" t="inlineStr">
        <is>
          <t>Q3122</t>
        </is>
      </c>
      <c r="D126" t="inlineStr">
        <is>
          <t>Invoice for services in JUL</t>
        </is>
      </c>
      <c r="E126" t="n">
        <v>53.6</v>
      </c>
    </row>
    <row r="127">
      <c r="B127" s="23" t="n">
        <v>45503</v>
      </c>
      <c r="C127" t="inlineStr">
        <is>
          <t>Q3123</t>
        </is>
      </c>
      <c r="D127" t="inlineStr">
        <is>
          <t>Invoice for services in JUL</t>
        </is>
      </c>
      <c r="E127" t="n">
        <v>1.75</v>
      </c>
    </row>
    <row r="128">
      <c r="B128" s="23" t="n">
        <v>45503</v>
      </c>
      <c r="C128" t="inlineStr">
        <is>
          <t>Q3124</t>
        </is>
      </c>
      <c r="D128" t="inlineStr">
        <is>
          <t>Invoice for services in JUL</t>
        </is>
      </c>
      <c r="E128" t="n">
        <v>12.1</v>
      </c>
    </row>
    <row r="129">
      <c r="B129" s="23" t="n">
        <v>45503</v>
      </c>
      <c r="C129" t="inlineStr">
        <is>
          <t>Q3125</t>
        </is>
      </c>
      <c r="D129" t="inlineStr">
        <is>
          <t>Invoice for services in JUL</t>
        </is>
      </c>
      <c r="E129" t="n">
        <v>173.85</v>
      </c>
    </row>
    <row r="130">
      <c r="B130" s="23" t="n">
        <v>45503</v>
      </c>
      <c r="C130" t="inlineStr">
        <is>
          <t>Q3126</t>
        </is>
      </c>
      <c r="D130" t="inlineStr">
        <is>
          <t>Invoice for services in JUL</t>
        </is>
      </c>
      <c r="E130" t="n">
        <v>43.7</v>
      </c>
    </row>
    <row r="131">
      <c r="B131" s="23" t="n">
        <v>45503</v>
      </c>
      <c r="C131" t="inlineStr">
        <is>
          <t>Q3127</t>
        </is>
      </c>
      <c r="D131" t="inlineStr">
        <is>
          <t>Invoice for services in JUL</t>
        </is>
      </c>
      <c r="E131" t="n">
        <v>34.2</v>
      </c>
    </row>
    <row r="132">
      <c r="B132" s="23" t="n">
        <v>45503</v>
      </c>
      <c r="C132" t="inlineStr">
        <is>
          <t>Q3128</t>
        </is>
      </c>
      <c r="D132" t="inlineStr">
        <is>
          <t>Invoice for services in JUL</t>
        </is>
      </c>
      <c r="E132" t="n">
        <v>29.1</v>
      </c>
    </row>
    <row r="133">
      <c r="B133" s="23" t="n">
        <v>45503</v>
      </c>
      <c r="C133" t="inlineStr">
        <is>
          <t>Q3129</t>
        </is>
      </c>
      <c r="D133" t="inlineStr">
        <is>
          <t>Invoice for services in JUL</t>
        </is>
      </c>
      <c r="E133" t="n">
        <v>10.06</v>
      </c>
    </row>
    <row r="134">
      <c r="B134" s="23" t="n">
        <v>45503</v>
      </c>
      <c r="C134" t="inlineStr">
        <is>
          <t>Q3130</t>
        </is>
      </c>
      <c r="D134" t="inlineStr">
        <is>
          <t>Invoice for services in JUL</t>
        </is>
      </c>
      <c r="E134" t="n">
        <v>22.9</v>
      </c>
    </row>
    <row r="135">
      <c r="B135" s="23" t="n">
        <v>45503</v>
      </c>
      <c r="C135" t="inlineStr">
        <is>
          <t>Q3131</t>
        </is>
      </c>
      <c r="D135" t="inlineStr">
        <is>
          <t>Invoice for services in JUL</t>
        </is>
      </c>
      <c r="E135" t="n">
        <v>31.4</v>
      </c>
    </row>
    <row r="136">
      <c r="B136" s="23" t="n">
        <v>45504</v>
      </c>
      <c r="C136" t="inlineStr">
        <is>
          <t>Q3132</t>
        </is>
      </c>
      <c r="D136" t="inlineStr">
        <is>
          <t>Invoice for services in JUL</t>
        </is>
      </c>
      <c r="E136" t="n">
        <v>18.4</v>
      </c>
    </row>
    <row r="137">
      <c r="B137" s="23" t="n">
        <v>45504</v>
      </c>
      <c r="C137" t="inlineStr">
        <is>
          <t>Q3133</t>
        </is>
      </c>
      <c r="D137" t="inlineStr">
        <is>
          <t>Invoice for services in JUL</t>
        </is>
      </c>
      <c r="E137" t="n">
        <v>9.800000000000001</v>
      </c>
    </row>
    <row r="138">
      <c r="B138" s="23" t="n">
        <v>45504</v>
      </c>
      <c r="C138" t="inlineStr">
        <is>
          <t>Q3134</t>
        </is>
      </c>
      <c r="D138" t="inlineStr">
        <is>
          <t>Invoice for services in JUL</t>
        </is>
      </c>
      <c r="E138" t="n">
        <v>4</v>
      </c>
    </row>
    <row r="139">
      <c r="B139" s="23" t="n">
        <v>45504</v>
      </c>
      <c r="C139" t="inlineStr">
        <is>
          <t>Q3135</t>
        </is>
      </c>
      <c r="D139" t="inlineStr">
        <is>
          <t>Invoice for services in JUL</t>
        </is>
      </c>
      <c r="E139" t="n">
        <v>20.9</v>
      </c>
    </row>
    <row r="140">
      <c r="B140" s="23" t="n">
        <v>45504</v>
      </c>
      <c r="C140" t="inlineStr">
        <is>
          <t>Q3136</t>
        </is>
      </c>
      <c r="D140" t="inlineStr">
        <is>
          <t>Invoice for services in JUL</t>
        </is>
      </c>
      <c r="E140" t="n">
        <v>20.9</v>
      </c>
    </row>
    <row r="141">
      <c r="B141" s="23" t="n">
        <v>45504</v>
      </c>
      <c r="C141" t="inlineStr">
        <is>
          <t>Q3137</t>
        </is>
      </c>
      <c r="D141" t="inlineStr">
        <is>
          <t>Invoice for services in JUL</t>
        </is>
      </c>
      <c r="E141" t="n">
        <v>19.5</v>
      </c>
    </row>
    <row r="142">
      <c r="B142" s="23" t="n">
        <v>45504</v>
      </c>
      <c r="C142" t="inlineStr">
        <is>
          <t>Q3138</t>
        </is>
      </c>
      <c r="D142" t="inlineStr">
        <is>
          <t>Invoice for services in JUL</t>
        </is>
      </c>
      <c r="E142" t="n">
        <v>11.8</v>
      </c>
    </row>
    <row r="143">
      <c r="B143" s="23" t="n">
        <v>45504</v>
      </c>
      <c r="C143" t="inlineStr">
        <is>
          <t>Q3139</t>
        </is>
      </c>
      <c r="D143" t="inlineStr">
        <is>
          <t>Invoice for services in JUL</t>
        </is>
      </c>
      <c r="E143" t="n">
        <v>412.31</v>
      </c>
    </row>
    <row r="144">
      <c r="B144" s="23" t="n">
        <v>45504</v>
      </c>
      <c r="C144" t="inlineStr">
        <is>
          <t>Q3140</t>
        </is>
      </c>
      <c r="D144" t="inlineStr">
        <is>
          <t>Invoice for services in JUL</t>
        </is>
      </c>
      <c r="E144" t="n">
        <v>14.1</v>
      </c>
    </row>
    <row r="145">
      <c r="B145" s="23" t="n">
        <v>45505</v>
      </c>
      <c r="C145" t="inlineStr">
        <is>
          <t>Q3141</t>
        </is>
      </c>
      <c r="D145" t="inlineStr">
        <is>
          <t>Invoice for services in AUG</t>
        </is>
      </c>
      <c r="E145" t="n">
        <v>1.75</v>
      </c>
    </row>
    <row r="146">
      <c r="B146" s="23" t="n">
        <v>45505</v>
      </c>
      <c r="C146" t="inlineStr">
        <is>
          <t>Q3142</t>
        </is>
      </c>
      <c r="D146" t="inlineStr">
        <is>
          <t>Invoice for services in AUG</t>
        </is>
      </c>
      <c r="E146" t="n">
        <v>4.39</v>
      </c>
    </row>
    <row r="147">
      <c r="B147" s="23" t="n">
        <v>45505</v>
      </c>
      <c r="C147" t="inlineStr">
        <is>
          <t>Q3143</t>
        </is>
      </c>
      <c r="D147" t="inlineStr">
        <is>
          <t>Invoice for services in AUG</t>
        </is>
      </c>
      <c r="E147" t="n">
        <v>700</v>
      </c>
    </row>
    <row r="148">
      <c r="B148" s="23" t="n">
        <v>45506</v>
      </c>
      <c r="C148" t="inlineStr">
        <is>
          <t>Q3144</t>
        </is>
      </c>
      <c r="D148" t="inlineStr">
        <is>
          <t>Invoice for services in AUG</t>
        </is>
      </c>
      <c r="E148" t="n">
        <v>5.9</v>
      </c>
    </row>
    <row r="149">
      <c r="B149" s="23" t="n">
        <v>45506</v>
      </c>
      <c r="C149" t="inlineStr">
        <is>
          <t>Q3145</t>
        </is>
      </c>
      <c r="D149" t="inlineStr">
        <is>
          <t>Invoice for services in AUG</t>
        </is>
      </c>
      <c r="E149" t="n">
        <v>4.55</v>
      </c>
    </row>
    <row r="150">
      <c r="B150" s="23" t="n">
        <v>45506</v>
      </c>
      <c r="C150" t="inlineStr">
        <is>
          <t>Q3146</t>
        </is>
      </c>
      <c r="D150" t="inlineStr">
        <is>
          <t>Invoice for services in AUG</t>
        </is>
      </c>
      <c r="E150" t="n">
        <v>11.2</v>
      </c>
    </row>
    <row r="151">
      <c r="B151" s="23" t="n">
        <v>45507</v>
      </c>
      <c r="C151" t="inlineStr">
        <is>
          <t>Q3147</t>
        </is>
      </c>
      <c r="D151" t="inlineStr">
        <is>
          <t>Invoice for services in AUG</t>
        </is>
      </c>
      <c r="E151" t="n">
        <v>3.75</v>
      </c>
    </row>
    <row r="152">
      <c r="B152" s="23" t="n">
        <v>45507</v>
      </c>
      <c r="C152" t="inlineStr">
        <is>
          <t>Q3148</t>
        </is>
      </c>
      <c r="D152" t="inlineStr">
        <is>
          <t>Invoice for services in AUG</t>
        </is>
      </c>
      <c r="E152" t="n">
        <v>4.55</v>
      </c>
    </row>
    <row r="153">
      <c r="B153" s="23" t="n">
        <v>45508</v>
      </c>
      <c r="C153" t="inlineStr">
        <is>
          <t>Q3149</t>
        </is>
      </c>
      <c r="D153" t="inlineStr">
        <is>
          <t>Invoice for services in AUG</t>
        </is>
      </c>
      <c r="E153" t="n">
        <v>4.55</v>
      </c>
    </row>
    <row r="154">
      <c r="B154" s="23" t="n">
        <v>45508</v>
      </c>
      <c r="C154" t="inlineStr">
        <is>
          <t>Q3150</t>
        </is>
      </c>
      <c r="D154" t="inlineStr">
        <is>
          <t>Invoice for services in AUG</t>
        </is>
      </c>
      <c r="E154" t="n">
        <v>2</v>
      </c>
    </row>
    <row r="155">
      <c r="B155" s="23" t="n">
        <v>45509</v>
      </c>
      <c r="C155" t="inlineStr">
        <is>
          <t>Q3151</t>
        </is>
      </c>
      <c r="D155" t="inlineStr">
        <is>
          <t>Invoice for services in AUG</t>
        </is>
      </c>
      <c r="E155" t="n">
        <v>7.35</v>
      </c>
    </row>
    <row r="156">
      <c r="B156" s="23" t="n">
        <v>45510</v>
      </c>
      <c r="C156" t="inlineStr">
        <is>
          <t>Q3152</t>
        </is>
      </c>
      <c r="D156" t="inlineStr">
        <is>
          <t>Invoice for services in AUG</t>
        </is>
      </c>
      <c r="E156" t="n">
        <v>14.97</v>
      </c>
    </row>
    <row r="157">
      <c r="B157" s="23" t="n">
        <v>45511</v>
      </c>
      <c r="C157" t="inlineStr">
        <is>
          <t>Q3153</t>
        </is>
      </c>
      <c r="D157" t="inlineStr">
        <is>
          <t>Invoice for services in AUG</t>
        </is>
      </c>
      <c r="E157" t="n">
        <v>22.7</v>
      </c>
    </row>
    <row r="158">
      <c r="B158" s="23" t="n">
        <v>45511</v>
      </c>
      <c r="C158" t="inlineStr">
        <is>
          <t>Q3154</t>
        </is>
      </c>
      <c r="D158" t="inlineStr">
        <is>
          <t>Invoice for services in AUG</t>
        </is>
      </c>
      <c r="E158" t="n">
        <v>3.5</v>
      </c>
    </row>
    <row r="159">
      <c r="B159" s="23" t="n">
        <v>45511</v>
      </c>
      <c r="C159" t="inlineStr">
        <is>
          <t>Q3155</t>
        </is>
      </c>
      <c r="D159" t="inlineStr">
        <is>
          <t>Invoice for services in AUG</t>
        </is>
      </c>
      <c r="E159" t="n">
        <v>7.6</v>
      </c>
    </row>
    <row r="160">
      <c r="B160" s="23" t="n">
        <v>45512</v>
      </c>
      <c r="C160" t="inlineStr">
        <is>
          <t>Q3156</t>
        </is>
      </c>
      <c r="D160" t="inlineStr">
        <is>
          <t>Invoice for services in AUG</t>
        </is>
      </c>
      <c r="E160" t="n">
        <v>3.75</v>
      </c>
    </row>
    <row r="161">
      <c r="B161" s="23" t="n">
        <v>45512</v>
      </c>
      <c r="C161" t="inlineStr">
        <is>
          <t>Q3157</t>
        </is>
      </c>
      <c r="D161" t="inlineStr">
        <is>
          <t>Invoice for services in AUG</t>
        </is>
      </c>
      <c r="E161" t="n">
        <v>46.38</v>
      </c>
    </row>
    <row r="162">
      <c r="B162" s="23" t="n">
        <v>45513</v>
      </c>
      <c r="C162" t="inlineStr">
        <is>
          <t>Q3158</t>
        </is>
      </c>
      <c r="D162" t="inlineStr">
        <is>
          <t>Invoice for services in AUG</t>
        </is>
      </c>
      <c r="E162" t="n">
        <v>3.7</v>
      </c>
    </row>
    <row r="163">
      <c r="B163" s="23" t="n">
        <v>45514</v>
      </c>
      <c r="C163" t="inlineStr">
        <is>
          <t>Q3159</t>
        </is>
      </c>
      <c r="D163" t="inlineStr">
        <is>
          <t>Invoice for services in AUG</t>
        </is>
      </c>
      <c r="E163" t="n">
        <v>2.25</v>
      </c>
    </row>
    <row r="164">
      <c r="B164" s="23" t="n">
        <v>45514</v>
      </c>
      <c r="C164" t="inlineStr">
        <is>
          <t>Q3160</t>
        </is>
      </c>
      <c r="D164" t="inlineStr">
        <is>
          <t>Invoice for services in AUG</t>
        </is>
      </c>
      <c r="E164" t="n">
        <v>2.9</v>
      </c>
    </row>
    <row r="165">
      <c r="B165" s="23" t="n">
        <v>45514</v>
      </c>
      <c r="C165" t="inlineStr">
        <is>
          <t>Q3161</t>
        </is>
      </c>
      <c r="D165" t="inlineStr">
        <is>
          <t>Invoice for services in AUG</t>
        </is>
      </c>
      <c r="E165" t="n">
        <v>5.5</v>
      </c>
    </row>
    <row r="166">
      <c r="B166" s="23" t="n">
        <v>45514</v>
      </c>
      <c r="C166" t="inlineStr">
        <is>
          <t>Q3162</t>
        </is>
      </c>
      <c r="D166" t="inlineStr">
        <is>
          <t>Invoice for services in AUG</t>
        </is>
      </c>
      <c r="E166" t="n">
        <v>6.05</v>
      </c>
    </row>
    <row r="167">
      <c r="B167" s="23" t="n">
        <v>45514</v>
      </c>
      <c r="C167" t="inlineStr">
        <is>
          <t>Q3163</t>
        </is>
      </c>
      <c r="D167" t="inlineStr">
        <is>
          <t>Invoice for services in AUG</t>
        </is>
      </c>
      <c r="E167" t="n">
        <v>2.5</v>
      </c>
    </row>
    <row r="168">
      <c r="B168" s="23" t="n">
        <v>45515</v>
      </c>
      <c r="C168" t="inlineStr">
        <is>
          <t>Q3164</t>
        </is>
      </c>
      <c r="D168" t="inlineStr">
        <is>
          <t>Invoice for services in AUG</t>
        </is>
      </c>
      <c r="E168" t="n">
        <v>3.75</v>
      </c>
    </row>
    <row r="169">
      <c r="B169" s="23" t="n">
        <v>45515</v>
      </c>
      <c r="C169" t="inlineStr">
        <is>
          <t>Q3165</t>
        </is>
      </c>
      <c r="D169" t="inlineStr">
        <is>
          <t>Invoice for services in AUG</t>
        </is>
      </c>
      <c r="E169" t="n">
        <v>67.2</v>
      </c>
    </row>
    <row r="170">
      <c r="B170" s="23" t="n">
        <v>45515</v>
      </c>
      <c r="C170" t="inlineStr">
        <is>
          <t>Q3166</t>
        </is>
      </c>
      <c r="D170" t="inlineStr">
        <is>
          <t>Invoice for services in AUG</t>
        </is>
      </c>
      <c r="E170" t="n">
        <v>4.95</v>
      </c>
    </row>
    <row r="171">
      <c r="B171" s="23" t="n">
        <v>45515</v>
      </c>
      <c r="C171" t="inlineStr">
        <is>
          <t>Q3167</t>
        </is>
      </c>
      <c r="D171" t="inlineStr">
        <is>
          <t>Invoice for services in AUG</t>
        </is>
      </c>
      <c r="E171" t="n">
        <v>7.25</v>
      </c>
    </row>
    <row r="172">
      <c r="B172" s="23" t="n">
        <v>45517</v>
      </c>
      <c r="C172" t="inlineStr">
        <is>
          <t>Q3168</t>
        </is>
      </c>
      <c r="D172" t="inlineStr">
        <is>
          <t>Invoice for services in AUG</t>
        </is>
      </c>
      <c r="E172" t="n">
        <v>1.75</v>
      </c>
    </row>
    <row r="173">
      <c r="B173" s="23" t="n">
        <v>45517</v>
      </c>
      <c r="C173" t="inlineStr">
        <is>
          <t>Q3169</t>
        </is>
      </c>
      <c r="D173" t="inlineStr">
        <is>
          <t>Invoice for services in AUG</t>
        </is>
      </c>
      <c r="E173" t="n">
        <v>5</v>
      </c>
    </row>
    <row r="174">
      <c r="B174" s="23" t="n">
        <v>45519</v>
      </c>
      <c r="C174" t="inlineStr">
        <is>
          <t>Q3170</t>
        </is>
      </c>
      <c r="D174" t="inlineStr">
        <is>
          <t>Invoice for services in AUG</t>
        </is>
      </c>
      <c r="E174" t="n">
        <v>3.75</v>
      </c>
    </row>
    <row r="175">
      <c r="B175" s="23" t="n">
        <v>45520</v>
      </c>
      <c r="C175" t="inlineStr">
        <is>
          <t>Q3171</t>
        </is>
      </c>
      <c r="D175" t="inlineStr">
        <is>
          <t>Invoice for services in AUG</t>
        </is>
      </c>
      <c r="E175" t="n">
        <v>3.5</v>
      </c>
    </row>
    <row r="176">
      <c r="B176" s="23" t="n">
        <v>45520</v>
      </c>
      <c r="C176" t="inlineStr">
        <is>
          <t>Q3172</t>
        </is>
      </c>
      <c r="D176" t="inlineStr">
        <is>
          <t>Invoice for services in AUG</t>
        </is>
      </c>
      <c r="E176" t="n">
        <v>6</v>
      </c>
    </row>
    <row r="177">
      <c r="B177" s="23" t="n">
        <v>45521</v>
      </c>
      <c r="C177" t="inlineStr">
        <is>
          <t>Q3173</t>
        </is>
      </c>
      <c r="D177" t="inlineStr">
        <is>
          <t>Invoice for services in AUG</t>
        </is>
      </c>
      <c r="E177" t="n">
        <v>8.9</v>
      </c>
    </row>
    <row r="178">
      <c r="B178" s="23" t="n">
        <v>45521</v>
      </c>
      <c r="C178" t="inlineStr">
        <is>
          <t>Q3174</t>
        </is>
      </c>
      <c r="D178" t="inlineStr">
        <is>
          <t>Invoice for services in AUG</t>
        </is>
      </c>
      <c r="E178" t="n">
        <v>3.5</v>
      </c>
    </row>
    <row r="179">
      <c r="B179" s="23" t="n">
        <v>45521</v>
      </c>
      <c r="C179" t="inlineStr">
        <is>
          <t>Q3175</t>
        </is>
      </c>
      <c r="D179" t="inlineStr">
        <is>
          <t>Invoice for services in AUG</t>
        </is>
      </c>
      <c r="E179" t="n">
        <v>9.69</v>
      </c>
    </row>
    <row r="180">
      <c r="B180" s="23" t="n">
        <v>45521</v>
      </c>
      <c r="C180" t="inlineStr">
        <is>
          <t>Q3176</t>
        </is>
      </c>
      <c r="D180" t="inlineStr">
        <is>
          <t>Invoice for services in AUG</t>
        </is>
      </c>
      <c r="E180" t="n">
        <v>4.5</v>
      </c>
    </row>
    <row r="181">
      <c r="B181" s="23" t="n">
        <v>45522</v>
      </c>
      <c r="C181" t="inlineStr">
        <is>
          <t>Q3177</t>
        </is>
      </c>
      <c r="D181" t="inlineStr">
        <is>
          <t>Invoice for services in AUG</t>
        </is>
      </c>
      <c r="E181" t="n">
        <v>3.5</v>
      </c>
    </row>
    <row r="182">
      <c r="B182" s="23" t="n">
        <v>45522</v>
      </c>
      <c r="C182" t="inlineStr">
        <is>
          <t>Q3178</t>
        </is>
      </c>
      <c r="D182" t="inlineStr">
        <is>
          <t>Invoice for services in AUG</t>
        </is>
      </c>
      <c r="E182" t="n">
        <v>3.75</v>
      </c>
    </row>
    <row r="183">
      <c r="B183" s="23" t="n">
        <v>45522</v>
      </c>
      <c r="C183" t="inlineStr">
        <is>
          <t>Q3179</t>
        </is>
      </c>
      <c r="D183" t="inlineStr">
        <is>
          <t>Invoice for services in AUG</t>
        </is>
      </c>
      <c r="E183" t="n">
        <v>20.38</v>
      </c>
    </row>
    <row r="184">
      <c r="B184" s="23" t="n">
        <v>45522</v>
      </c>
      <c r="C184" t="inlineStr">
        <is>
          <t>Q3180</t>
        </is>
      </c>
      <c r="D184" t="inlineStr">
        <is>
          <t>Invoice for services in AUG</t>
        </is>
      </c>
      <c r="E184" t="n">
        <v>247.52</v>
      </c>
    </row>
    <row r="185">
      <c r="B185" s="23" t="n">
        <v>45523</v>
      </c>
      <c r="C185" t="inlineStr">
        <is>
          <t>Q3181</t>
        </is>
      </c>
      <c r="D185" t="inlineStr">
        <is>
          <t>Invoice for services in AUG</t>
        </is>
      </c>
      <c r="E185" t="n">
        <v>3.5</v>
      </c>
    </row>
    <row r="186">
      <c r="B186" s="23" t="n">
        <v>45523</v>
      </c>
      <c r="C186" t="inlineStr">
        <is>
          <t>Q3182</t>
        </is>
      </c>
      <c r="D186" t="inlineStr">
        <is>
          <t>Invoice for services in AUG</t>
        </is>
      </c>
      <c r="E186" t="n">
        <v>3.2</v>
      </c>
    </row>
    <row r="187">
      <c r="B187" s="23" t="n">
        <v>45523</v>
      </c>
      <c r="C187" t="inlineStr">
        <is>
          <t>Q3183</t>
        </is>
      </c>
      <c r="D187" t="inlineStr">
        <is>
          <t>Invoice for services in AUG</t>
        </is>
      </c>
      <c r="E187" t="n">
        <v>129.99</v>
      </c>
    </row>
    <row r="188">
      <c r="B188" s="23" t="n">
        <v>45523</v>
      </c>
      <c r="C188" t="inlineStr">
        <is>
          <t>Q3184</t>
        </is>
      </c>
      <c r="D188" t="inlineStr">
        <is>
          <t>Invoice for services in AUG</t>
        </is>
      </c>
      <c r="E188" t="n">
        <v>4.7</v>
      </c>
    </row>
    <row r="189">
      <c r="B189" s="23" t="n">
        <v>45523</v>
      </c>
      <c r="C189" t="inlineStr">
        <is>
          <t>Q3185</t>
        </is>
      </c>
      <c r="D189" t="inlineStr">
        <is>
          <t>Invoice for services in AUG</t>
        </is>
      </c>
      <c r="E189" t="n">
        <v>40</v>
      </c>
    </row>
    <row r="190">
      <c r="B190" s="23" t="n">
        <v>45524</v>
      </c>
      <c r="C190" t="inlineStr">
        <is>
          <t>Q3186</t>
        </is>
      </c>
      <c r="D190" t="inlineStr">
        <is>
          <t>Invoice for services in AUG</t>
        </is>
      </c>
      <c r="E190" t="n">
        <v>5.23</v>
      </c>
    </row>
    <row r="191">
      <c r="B191" s="23" t="n">
        <v>45524</v>
      </c>
      <c r="C191" t="inlineStr">
        <is>
          <t>Q3187</t>
        </is>
      </c>
      <c r="D191" t="inlineStr">
        <is>
          <t>Invoice for services in AUG</t>
        </is>
      </c>
      <c r="E191" t="n">
        <v>3.5</v>
      </c>
    </row>
    <row r="192">
      <c r="B192" s="23" t="n">
        <v>45524</v>
      </c>
      <c r="C192" t="inlineStr">
        <is>
          <t>Q3188</t>
        </is>
      </c>
      <c r="D192" t="inlineStr">
        <is>
          <t>Invoice for services in AUG</t>
        </is>
      </c>
      <c r="E192" t="n">
        <v>4.58</v>
      </c>
    </row>
    <row r="193">
      <c r="B193" s="23" t="n">
        <v>45524</v>
      </c>
      <c r="C193" t="inlineStr">
        <is>
          <t>Q3189</t>
        </is>
      </c>
      <c r="D193" t="inlineStr">
        <is>
          <t>Invoice for services in AUG</t>
        </is>
      </c>
      <c r="E193" t="n">
        <v>5.24</v>
      </c>
    </row>
    <row r="194">
      <c r="B194" s="23" t="n">
        <v>45525</v>
      </c>
      <c r="C194" t="inlineStr">
        <is>
          <t>Q3190</t>
        </is>
      </c>
      <c r="D194" t="inlineStr">
        <is>
          <t>Invoice for services in AUG</t>
        </is>
      </c>
      <c r="E194" t="n">
        <v>12.25</v>
      </c>
    </row>
    <row r="195">
      <c r="B195" s="23" t="n">
        <v>45525</v>
      </c>
      <c r="C195" t="inlineStr">
        <is>
          <t>Q3191</t>
        </is>
      </c>
      <c r="D195" t="inlineStr">
        <is>
          <t>Invoice for services in AUG</t>
        </is>
      </c>
      <c r="E195" t="n">
        <v>3.75</v>
      </c>
    </row>
    <row r="196">
      <c r="B196" s="23" t="n">
        <v>45525</v>
      </c>
      <c r="C196" t="inlineStr">
        <is>
          <t>Q3192</t>
        </is>
      </c>
      <c r="D196" t="inlineStr">
        <is>
          <t>Invoice for services in AUG</t>
        </is>
      </c>
      <c r="E196" t="n">
        <v>3.9</v>
      </c>
    </row>
    <row r="197">
      <c r="B197" s="23" t="n">
        <v>45526</v>
      </c>
      <c r="C197" t="inlineStr">
        <is>
          <t>Q3193</t>
        </is>
      </c>
      <c r="D197" t="inlineStr">
        <is>
          <t>Invoice for services in AUG</t>
        </is>
      </c>
      <c r="E197" t="n">
        <v>3.5</v>
      </c>
    </row>
    <row r="198">
      <c r="B198" s="23" t="n">
        <v>45526</v>
      </c>
      <c r="C198" t="inlineStr">
        <is>
          <t>Q3194</t>
        </is>
      </c>
      <c r="D198" t="inlineStr">
        <is>
          <t>Invoice for services in AUG</t>
        </is>
      </c>
      <c r="E198" t="n">
        <v>2.95</v>
      </c>
    </row>
    <row r="199">
      <c r="B199" s="23" t="n">
        <v>45526</v>
      </c>
      <c r="C199" t="inlineStr">
        <is>
          <t>Q3195</t>
        </is>
      </c>
      <c r="D199" t="inlineStr">
        <is>
          <t>Invoice for services in AUG</t>
        </is>
      </c>
      <c r="E199" t="n">
        <v>13.45</v>
      </c>
    </row>
    <row r="200">
      <c r="B200" s="23" t="n">
        <v>45527</v>
      </c>
      <c r="C200" t="inlineStr">
        <is>
          <t>Q3196</t>
        </is>
      </c>
      <c r="D200" t="inlineStr">
        <is>
          <t>Invoice for services in AUG</t>
        </is>
      </c>
      <c r="E200" t="n">
        <v>3.4</v>
      </c>
    </row>
    <row r="201">
      <c r="B201" s="23" t="n">
        <v>45527</v>
      </c>
      <c r="C201" t="inlineStr">
        <is>
          <t>Q3197</t>
        </is>
      </c>
      <c r="D201" t="inlineStr">
        <is>
          <t>Invoice for services in AUG</t>
        </is>
      </c>
      <c r="E201" t="n">
        <v>3.5</v>
      </c>
    </row>
    <row r="202">
      <c r="B202" s="23" t="n">
        <v>45527</v>
      </c>
      <c r="C202" t="inlineStr">
        <is>
          <t>Q3198</t>
        </is>
      </c>
      <c r="D202" t="inlineStr">
        <is>
          <t>Invoice for services in AUG</t>
        </is>
      </c>
      <c r="E202" t="n">
        <v>3.35</v>
      </c>
    </row>
    <row r="203">
      <c r="B203" s="23" t="n">
        <v>45527</v>
      </c>
      <c r="C203" t="inlineStr">
        <is>
          <t>Q3199</t>
        </is>
      </c>
      <c r="D203" t="inlineStr">
        <is>
          <t>Invoice for services in AUG</t>
        </is>
      </c>
      <c r="E203" t="n">
        <v>10.37</v>
      </c>
    </row>
    <row r="204">
      <c r="B204" s="23" t="n">
        <v>45528</v>
      </c>
      <c r="C204" t="inlineStr">
        <is>
          <t>Q3200</t>
        </is>
      </c>
      <c r="D204" t="inlineStr">
        <is>
          <t>Invoice for services in AUG</t>
        </is>
      </c>
      <c r="E204" t="n">
        <v>16.06</v>
      </c>
    </row>
    <row r="205">
      <c r="B205" s="23" t="n">
        <v>45528</v>
      </c>
      <c r="C205" t="inlineStr">
        <is>
          <t>Q3201</t>
        </is>
      </c>
      <c r="D205" t="inlineStr">
        <is>
          <t>Invoice for services in AUG</t>
        </is>
      </c>
      <c r="E205" t="n">
        <v>3.5</v>
      </c>
    </row>
    <row r="206">
      <c r="B206" s="23" t="n">
        <v>45529</v>
      </c>
      <c r="C206" t="inlineStr">
        <is>
          <t>Q3202</t>
        </is>
      </c>
      <c r="D206" t="inlineStr">
        <is>
          <t>Invoice for services in AUG</t>
        </is>
      </c>
      <c r="E206" t="n">
        <v>3.5</v>
      </c>
    </row>
    <row r="207">
      <c r="B207" s="23" t="n">
        <v>45529</v>
      </c>
      <c r="C207" t="inlineStr">
        <is>
          <t>Q3203</t>
        </is>
      </c>
      <c r="D207" t="inlineStr">
        <is>
          <t>Invoice for services in AUG</t>
        </is>
      </c>
      <c r="E207" t="n">
        <v>5.5</v>
      </c>
    </row>
    <row r="208">
      <c r="B208" s="23" t="n">
        <v>45530</v>
      </c>
      <c r="C208" t="inlineStr">
        <is>
          <t>Q3204</t>
        </is>
      </c>
      <c r="D208" t="inlineStr">
        <is>
          <t>Invoice for services in AUG</t>
        </is>
      </c>
      <c r="E208" t="n">
        <v>3.5</v>
      </c>
    </row>
    <row r="209">
      <c r="B209" s="23" t="n">
        <v>45530</v>
      </c>
      <c r="C209" t="inlineStr">
        <is>
          <t>Q3205</t>
        </is>
      </c>
      <c r="D209" t="inlineStr">
        <is>
          <t>Invoice for services in AUG</t>
        </is>
      </c>
      <c r="E209" t="n">
        <v>6.35</v>
      </c>
    </row>
    <row r="210">
      <c r="B210" s="23" t="n">
        <v>45530</v>
      </c>
      <c r="C210" t="inlineStr">
        <is>
          <t>Q3206</t>
        </is>
      </c>
      <c r="D210" t="inlineStr">
        <is>
          <t>Invoice for services in AUG</t>
        </is>
      </c>
      <c r="E210" t="n">
        <v>11.89</v>
      </c>
    </row>
    <row r="211">
      <c r="B211" s="23" t="n">
        <v>45530</v>
      </c>
      <c r="C211" t="inlineStr">
        <is>
          <t>Q3207</t>
        </is>
      </c>
      <c r="D211" t="inlineStr">
        <is>
          <t>Invoice for services in AUG</t>
        </is>
      </c>
      <c r="E211" t="n">
        <v>25.49</v>
      </c>
    </row>
    <row r="212">
      <c r="B212" s="23" t="n">
        <v>45530</v>
      </c>
      <c r="C212" t="inlineStr">
        <is>
          <t>Q3208</t>
        </is>
      </c>
      <c r="D212" t="inlineStr">
        <is>
          <t>Invoice for services in AUG</t>
        </is>
      </c>
      <c r="E212" t="n">
        <v>12.74</v>
      </c>
    </row>
    <row r="213">
      <c r="B213" s="23" t="n">
        <v>45530</v>
      </c>
      <c r="C213" t="inlineStr">
        <is>
          <t>Q3209</t>
        </is>
      </c>
      <c r="D213" t="inlineStr">
        <is>
          <t>Invoice for services in AUG</t>
        </is>
      </c>
      <c r="E213" t="n">
        <v>7.63</v>
      </c>
    </row>
    <row r="214">
      <c r="B214" s="23" t="n">
        <v>45531</v>
      </c>
      <c r="C214" t="inlineStr">
        <is>
          <t>Q3210</t>
        </is>
      </c>
      <c r="D214" t="inlineStr">
        <is>
          <t>Invoice for services in AUG</t>
        </is>
      </c>
      <c r="E214" t="n">
        <v>9.33</v>
      </c>
    </row>
    <row r="215">
      <c r="B215" s="23" t="n">
        <v>45531</v>
      </c>
      <c r="C215" t="inlineStr">
        <is>
          <t>Q3211</t>
        </is>
      </c>
      <c r="D215" t="inlineStr">
        <is>
          <t>Invoice for services in AUG</t>
        </is>
      </c>
      <c r="E215" t="n">
        <v>33.9</v>
      </c>
    </row>
    <row r="216">
      <c r="B216" s="23" t="n">
        <v>45531</v>
      </c>
      <c r="C216" t="inlineStr">
        <is>
          <t>Q3212</t>
        </is>
      </c>
      <c r="D216" t="inlineStr">
        <is>
          <t>Invoice for services in AUG</t>
        </is>
      </c>
      <c r="E216" t="n">
        <v>32.99</v>
      </c>
    </row>
    <row r="217">
      <c r="B217" s="23" t="n">
        <v>45531</v>
      </c>
      <c r="C217" t="inlineStr">
        <is>
          <t>Q3213</t>
        </is>
      </c>
      <c r="D217" t="inlineStr">
        <is>
          <t>Invoice for services in AUG</t>
        </is>
      </c>
      <c r="E217" t="n">
        <v>10.1</v>
      </c>
    </row>
    <row r="218">
      <c r="B218" s="23" t="n">
        <v>45531</v>
      </c>
      <c r="C218" t="inlineStr">
        <is>
          <t>Q3214</t>
        </is>
      </c>
      <c r="D218" t="inlineStr">
        <is>
          <t>Invoice for services in AUG</t>
        </is>
      </c>
      <c r="E218" t="n">
        <v>16.02</v>
      </c>
    </row>
    <row r="219">
      <c r="B219" s="23" t="n">
        <v>45531</v>
      </c>
      <c r="C219" t="inlineStr">
        <is>
          <t>Q3215</t>
        </is>
      </c>
      <c r="D219" t="inlineStr">
        <is>
          <t>Invoice for services in AUG</t>
        </is>
      </c>
      <c r="E219" t="n">
        <v>32.02</v>
      </c>
    </row>
    <row r="220">
      <c r="B220" s="23" t="n">
        <v>45532</v>
      </c>
      <c r="C220" t="inlineStr">
        <is>
          <t>Q3216</t>
        </is>
      </c>
      <c r="D220" t="inlineStr">
        <is>
          <t>Invoice for services in AUG</t>
        </is>
      </c>
      <c r="E220" t="n">
        <v>11.01</v>
      </c>
    </row>
    <row r="221">
      <c r="B221" s="23" t="n">
        <v>45532</v>
      </c>
      <c r="C221" t="inlineStr">
        <is>
          <t>Q3217</t>
        </is>
      </c>
      <c r="D221" t="inlineStr">
        <is>
          <t>Invoice for services in AUG</t>
        </is>
      </c>
      <c r="E221" t="n">
        <v>7.45</v>
      </c>
    </row>
    <row r="222">
      <c r="B222" s="23" t="n">
        <v>45532</v>
      </c>
      <c r="C222" t="inlineStr">
        <is>
          <t>Q3218</t>
        </is>
      </c>
      <c r="D222" t="inlineStr">
        <is>
          <t>Invoice for services in AUG</t>
        </is>
      </c>
      <c r="E222" t="n">
        <v>41.93</v>
      </c>
    </row>
    <row r="223">
      <c r="B223" s="23" t="n">
        <v>45532</v>
      </c>
      <c r="C223" t="inlineStr">
        <is>
          <t>Q3219</t>
        </is>
      </c>
      <c r="D223" t="inlineStr">
        <is>
          <t>Invoice for services in AUG</t>
        </is>
      </c>
      <c r="E223" t="n">
        <v>1.5</v>
      </c>
    </row>
    <row r="224">
      <c r="B224" s="23" t="n">
        <v>45533</v>
      </c>
      <c r="C224" t="inlineStr">
        <is>
          <t>Q3220</t>
        </is>
      </c>
      <c r="D224" t="inlineStr">
        <is>
          <t>Invoice for services in AUG</t>
        </is>
      </c>
      <c r="E224" t="n">
        <v>7.59</v>
      </c>
    </row>
    <row r="225">
      <c r="B225" s="23" t="n">
        <v>45533</v>
      </c>
      <c r="C225" t="inlineStr">
        <is>
          <t>Q3221</t>
        </is>
      </c>
      <c r="D225" t="inlineStr">
        <is>
          <t>Invoice for services in AUG</t>
        </is>
      </c>
      <c r="E225" t="n">
        <v>10.1</v>
      </c>
    </row>
    <row r="226">
      <c r="B226" s="23" t="n">
        <v>45533</v>
      </c>
      <c r="C226" t="inlineStr">
        <is>
          <t>Q3222</t>
        </is>
      </c>
      <c r="D226" t="inlineStr">
        <is>
          <t>Invoice for services in AUG</t>
        </is>
      </c>
      <c r="E226" t="n">
        <v>8</v>
      </c>
    </row>
    <row r="227">
      <c r="B227" s="23" t="n">
        <v>45533</v>
      </c>
      <c r="C227" t="inlineStr">
        <is>
          <t>Q3223</t>
        </is>
      </c>
      <c r="D227" t="inlineStr">
        <is>
          <t>Invoice for services in AUG</t>
        </is>
      </c>
      <c r="E227" t="n">
        <v>3.29</v>
      </c>
    </row>
    <row r="228">
      <c r="B228" s="23" t="n">
        <v>45534</v>
      </c>
      <c r="C228" t="inlineStr">
        <is>
          <t>Q3224</t>
        </is>
      </c>
      <c r="D228" t="inlineStr">
        <is>
          <t>Invoice for services in AUG</t>
        </is>
      </c>
      <c r="E228" t="n">
        <v>4.95</v>
      </c>
    </row>
    <row r="229">
      <c r="B229" s="23" t="n">
        <v>45534</v>
      </c>
      <c r="C229" t="inlineStr">
        <is>
          <t>Q3225</t>
        </is>
      </c>
      <c r="D229" t="inlineStr">
        <is>
          <t>Invoice for services in AUG</t>
        </is>
      </c>
      <c r="E229" t="n">
        <v>1.9</v>
      </c>
    </row>
    <row r="230">
      <c r="B230" s="23" t="n">
        <v>45534</v>
      </c>
      <c r="C230" t="inlineStr">
        <is>
          <t>Q3226</t>
        </is>
      </c>
      <c r="D230" t="inlineStr">
        <is>
          <t>Invoice for services in AUG</t>
        </is>
      </c>
      <c r="E230" t="n">
        <v>3.5</v>
      </c>
    </row>
    <row r="231">
      <c r="B231" s="23" t="n">
        <v>45534</v>
      </c>
      <c r="C231" t="inlineStr">
        <is>
          <t>Q3227</t>
        </is>
      </c>
      <c r="D231" t="inlineStr">
        <is>
          <t>Invoice for services in AUG</t>
        </is>
      </c>
      <c r="E231" t="n">
        <v>3.75</v>
      </c>
    </row>
    <row r="232">
      <c r="B232" s="23" t="n">
        <v>45535</v>
      </c>
      <c r="C232" t="inlineStr">
        <is>
          <t>Q3228</t>
        </is>
      </c>
      <c r="D232" t="inlineStr">
        <is>
          <t>Invoice for services in AUG</t>
        </is>
      </c>
      <c r="E232" t="n">
        <v>3.75</v>
      </c>
    </row>
    <row r="233">
      <c r="B233" s="23" t="n">
        <v>45535</v>
      </c>
      <c r="C233" t="inlineStr">
        <is>
          <t>Q3229</t>
        </is>
      </c>
      <c r="D233" t="inlineStr">
        <is>
          <t>Invoice for services in AUG</t>
        </is>
      </c>
      <c r="E233" t="n">
        <v>3.5</v>
      </c>
    </row>
    <row r="234">
      <c r="B234" s="23" t="n">
        <v>45535</v>
      </c>
      <c r="C234" t="inlineStr">
        <is>
          <t>Q3230</t>
        </is>
      </c>
      <c r="D234" t="inlineStr">
        <is>
          <t>Invoice for services in AUG</t>
        </is>
      </c>
      <c r="E234" t="n">
        <v>28.75</v>
      </c>
    </row>
    <row r="235">
      <c r="B235" s="23" t="n">
        <v>45535</v>
      </c>
      <c r="C235" t="inlineStr">
        <is>
          <t>Q3231</t>
        </is>
      </c>
      <c r="D235" t="inlineStr">
        <is>
          <t>Invoice for services in AUG</t>
        </is>
      </c>
      <c r="E235" t="n">
        <v>2.05</v>
      </c>
    </row>
    <row r="236">
      <c r="B236" s="23" t="n">
        <v>45536</v>
      </c>
      <c r="C236" t="inlineStr">
        <is>
          <t>Q3232</t>
        </is>
      </c>
      <c r="D236" t="inlineStr">
        <is>
          <t>Invoice for services in SEP</t>
        </is>
      </c>
      <c r="E236" t="n">
        <v>1.75</v>
      </c>
    </row>
    <row r="237">
      <c r="B237" s="23" t="n">
        <v>45536</v>
      </c>
      <c r="C237" t="inlineStr">
        <is>
          <t>Q3233</t>
        </is>
      </c>
      <c r="D237" t="inlineStr">
        <is>
          <t>Invoice for services in SEP</t>
        </is>
      </c>
      <c r="E237" t="n">
        <v>3.75</v>
      </c>
    </row>
    <row r="238">
      <c r="B238" s="23" t="n">
        <v>45536</v>
      </c>
      <c r="C238" t="inlineStr">
        <is>
          <t>Q3234</t>
        </is>
      </c>
      <c r="D238" t="inlineStr">
        <is>
          <t>Invoice for services in SEP</t>
        </is>
      </c>
      <c r="E238" t="n">
        <v>700</v>
      </c>
    </row>
    <row r="239">
      <c r="B239" s="23" t="n">
        <v>45536</v>
      </c>
      <c r="C239" t="inlineStr">
        <is>
          <t>Q3235</t>
        </is>
      </c>
      <c r="D239" t="inlineStr">
        <is>
          <t>Invoice for services in SEP</t>
        </is>
      </c>
      <c r="E239" t="n">
        <v>13.95</v>
      </c>
    </row>
    <row r="240">
      <c r="B240" s="23" t="n">
        <v>45536</v>
      </c>
      <c r="C240" t="inlineStr">
        <is>
          <t>Q3236</t>
        </is>
      </c>
      <c r="D240" t="inlineStr">
        <is>
          <t>Invoice for services in SEP</t>
        </is>
      </c>
      <c r="E240" t="n">
        <v>10.15</v>
      </c>
    </row>
    <row r="241">
      <c r="B241" s="23" t="n">
        <v>45537</v>
      </c>
      <c r="C241" t="inlineStr">
        <is>
          <t>Q3237</t>
        </is>
      </c>
      <c r="D241" t="inlineStr">
        <is>
          <t>Invoice for services in SEP</t>
        </is>
      </c>
      <c r="E241" t="n">
        <v>5.25</v>
      </c>
    </row>
    <row r="242">
      <c r="B242" s="23" t="n">
        <v>45537</v>
      </c>
      <c r="C242" t="inlineStr">
        <is>
          <t>Q3238</t>
        </is>
      </c>
      <c r="D242" t="inlineStr">
        <is>
          <t>Invoice for services in SEP</t>
        </is>
      </c>
      <c r="E242" t="n">
        <v>847.45</v>
      </c>
    </row>
    <row r="243">
      <c r="B243" s="23" t="n">
        <v>45537</v>
      </c>
      <c r="C243" t="inlineStr">
        <is>
          <t>Q3239</t>
        </is>
      </c>
      <c r="D243" t="inlineStr">
        <is>
          <t>Invoice for services in SEP</t>
        </is>
      </c>
      <c r="E243" t="n">
        <v>848.04</v>
      </c>
    </row>
    <row r="244">
      <c r="B244" s="23" t="n">
        <v>45538</v>
      </c>
      <c r="C244" t="inlineStr">
        <is>
          <t>Q3240</t>
        </is>
      </c>
      <c r="D244" t="inlineStr">
        <is>
          <t>Invoice for services in SEP</t>
        </is>
      </c>
      <c r="E244" t="n">
        <v>103.4</v>
      </c>
    </row>
    <row r="245">
      <c r="B245" s="23" t="n">
        <v>45538</v>
      </c>
      <c r="C245" t="inlineStr">
        <is>
          <t>Q3241</t>
        </is>
      </c>
      <c r="D245" t="inlineStr">
        <is>
          <t>Invoice for services in SEP</t>
        </is>
      </c>
      <c r="E245" t="n">
        <v>2.49</v>
      </c>
    </row>
    <row r="246">
      <c r="B246" s="23" t="n">
        <v>45538</v>
      </c>
      <c r="C246" t="inlineStr">
        <is>
          <t>Q3242</t>
        </is>
      </c>
      <c r="D246" t="inlineStr">
        <is>
          <t>Invoice for services in SEP</t>
        </is>
      </c>
      <c r="E246" t="n">
        <v>15.3</v>
      </c>
    </row>
    <row r="247">
      <c r="B247" s="23" t="n">
        <v>45539</v>
      </c>
      <c r="C247" t="inlineStr">
        <is>
          <t>Q3243</t>
        </is>
      </c>
      <c r="D247" t="inlineStr">
        <is>
          <t>Invoice for services in SEP</t>
        </is>
      </c>
      <c r="E247" t="n">
        <v>26.72</v>
      </c>
    </row>
    <row r="248">
      <c r="B248" s="23" t="n">
        <v>45539</v>
      </c>
      <c r="C248" t="inlineStr">
        <is>
          <t>Q3244</t>
        </is>
      </c>
      <c r="D248" t="inlineStr">
        <is>
          <t>Invoice for services in SEP</t>
        </is>
      </c>
      <c r="E248" t="n">
        <v>3.75</v>
      </c>
    </row>
    <row r="249">
      <c r="B249" s="23" t="n">
        <v>45539</v>
      </c>
      <c r="C249" t="inlineStr">
        <is>
          <t>Q3245</t>
        </is>
      </c>
      <c r="D249" t="inlineStr">
        <is>
          <t>Invoice for services in SEP</t>
        </is>
      </c>
      <c r="E249" t="n">
        <v>2.99</v>
      </c>
    </row>
    <row r="250">
      <c r="B250" s="23" t="n">
        <v>45539</v>
      </c>
      <c r="C250" t="inlineStr">
        <is>
          <t>Q3246</t>
        </is>
      </c>
      <c r="D250" t="inlineStr">
        <is>
          <t>Invoice for services in SEP</t>
        </is>
      </c>
      <c r="E250" t="n">
        <v>2.25</v>
      </c>
    </row>
    <row r="251">
      <c r="B251" s="23" t="n">
        <v>45539</v>
      </c>
      <c r="C251" t="inlineStr">
        <is>
          <t>Q3247</t>
        </is>
      </c>
      <c r="D251" t="inlineStr">
        <is>
          <t>Invoice for services in SEP</t>
        </is>
      </c>
      <c r="E251" t="n">
        <v>5</v>
      </c>
    </row>
    <row r="252">
      <c r="B252" s="23" t="n">
        <v>45540</v>
      </c>
      <c r="C252" t="inlineStr">
        <is>
          <t>Q3248</t>
        </is>
      </c>
      <c r="D252" t="inlineStr">
        <is>
          <t>Invoice for services in SEP</t>
        </is>
      </c>
      <c r="E252" t="n">
        <v>1.75</v>
      </c>
    </row>
    <row r="253">
      <c r="B253" s="23" t="n">
        <v>45540</v>
      </c>
      <c r="C253" t="inlineStr">
        <is>
          <t>Q3249</t>
        </is>
      </c>
      <c r="D253" t="inlineStr">
        <is>
          <t>Invoice for services in SEP</t>
        </is>
      </c>
      <c r="E253" t="n">
        <v>9</v>
      </c>
    </row>
    <row r="254">
      <c r="B254" s="23" t="n">
        <v>45540</v>
      </c>
      <c r="C254" t="inlineStr">
        <is>
          <t>Q3250</t>
        </is>
      </c>
      <c r="D254" t="inlineStr">
        <is>
          <t>Invoice for services in SEP</t>
        </is>
      </c>
      <c r="E254" t="n">
        <v>7.67</v>
      </c>
    </row>
    <row r="255">
      <c r="B255" s="23" t="n">
        <v>45540</v>
      </c>
      <c r="C255" t="inlineStr">
        <is>
          <t>Q3251</t>
        </is>
      </c>
      <c r="D255" t="inlineStr">
        <is>
          <t>Invoice for services in SEP</t>
        </is>
      </c>
      <c r="E255" t="n">
        <v>4.42</v>
      </c>
    </row>
    <row r="256">
      <c r="B256" s="23" t="n">
        <v>45541</v>
      </c>
      <c r="C256" t="inlineStr">
        <is>
          <t>Q3252</t>
        </is>
      </c>
      <c r="D256" t="inlineStr">
        <is>
          <t>Invoice for services in SEP</t>
        </is>
      </c>
      <c r="E256" t="n">
        <v>3.5</v>
      </c>
    </row>
    <row r="257">
      <c r="B257" s="23" t="n">
        <v>45541</v>
      </c>
      <c r="C257" t="inlineStr">
        <is>
          <t>Q3253</t>
        </is>
      </c>
      <c r="D257" t="inlineStr">
        <is>
          <t>Invoice for services in SEP</t>
        </is>
      </c>
      <c r="E257" t="n">
        <v>5.5</v>
      </c>
    </row>
    <row r="258">
      <c r="B258" s="23" t="n">
        <v>45541</v>
      </c>
      <c r="C258" t="inlineStr">
        <is>
          <t>Q3254</t>
        </is>
      </c>
      <c r="D258" t="inlineStr">
        <is>
          <t>Invoice for services in SEP</t>
        </is>
      </c>
      <c r="E258" t="n">
        <v>5</v>
      </c>
    </row>
    <row r="259">
      <c r="B259" s="23" t="n">
        <v>45541</v>
      </c>
      <c r="C259" t="inlineStr">
        <is>
          <t>Q3255</t>
        </is>
      </c>
      <c r="D259" t="inlineStr">
        <is>
          <t>Invoice for services in SEP</t>
        </is>
      </c>
      <c r="E259" t="n">
        <v>2.5</v>
      </c>
    </row>
    <row r="260">
      <c r="B260" s="23" t="n">
        <v>45541</v>
      </c>
      <c r="C260" t="inlineStr">
        <is>
          <t>Q3256</t>
        </is>
      </c>
      <c r="D260" t="inlineStr">
        <is>
          <t>Invoice for services in SEP</t>
        </is>
      </c>
      <c r="E260" t="n">
        <v>5.2</v>
      </c>
    </row>
    <row r="261">
      <c r="B261" s="23" t="n">
        <v>45541</v>
      </c>
      <c r="C261" t="inlineStr">
        <is>
          <t>Q3257</t>
        </is>
      </c>
      <c r="D261" t="inlineStr">
        <is>
          <t>Invoice for services in SEP</t>
        </is>
      </c>
      <c r="E261" t="n">
        <v>300</v>
      </c>
    </row>
    <row r="262">
      <c r="B262" s="23" t="n">
        <v>45541</v>
      </c>
      <c r="C262" t="inlineStr">
        <is>
          <t>Q3258</t>
        </is>
      </c>
      <c r="D262" t="inlineStr">
        <is>
          <t>Invoice for services in SEP</t>
        </is>
      </c>
      <c r="E262" t="n">
        <v>4.95</v>
      </c>
    </row>
    <row r="263">
      <c r="B263" s="23" t="n">
        <v>45542</v>
      </c>
      <c r="C263" t="inlineStr">
        <is>
          <t>Q3259</t>
        </is>
      </c>
      <c r="D263" t="inlineStr">
        <is>
          <t>Invoice for services in SEP</t>
        </is>
      </c>
      <c r="E263" t="n">
        <v>3.5</v>
      </c>
    </row>
    <row r="264">
      <c r="B264" s="23" t="n">
        <v>45542</v>
      </c>
      <c r="C264" t="inlineStr">
        <is>
          <t>Q3260</t>
        </is>
      </c>
      <c r="D264" t="inlineStr">
        <is>
          <t>Invoice for services in SEP</t>
        </is>
      </c>
      <c r="E264" t="n">
        <v>8</v>
      </c>
    </row>
    <row r="265">
      <c r="B265" s="23" t="n">
        <v>45542</v>
      </c>
      <c r="C265" t="inlineStr">
        <is>
          <t>Q3261</t>
        </is>
      </c>
      <c r="D265" t="inlineStr">
        <is>
          <t>Invoice for services in SEP</t>
        </is>
      </c>
      <c r="E265" t="n">
        <v>1.25</v>
      </c>
    </row>
    <row r="266">
      <c r="B266" s="23" t="n">
        <v>45543</v>
      </c>
      <c r="C266" t="inlineStr">
        <is>
          <t>Q3262</t>
        </is>
      </c>
      <c r="D266" t="inlineStr">
        <is>
          <t>Invoice for services in SEP</t>
        </is>
      </c>
      <c r="E266" t="n">
        <v>168.98</v>
      </c>
    </row>
    <row r="267">
      <c r="B267" s="23" t="n">
        <v>45543</v>
      </c>
      <c r="C267" t="inlineStr">
        <is>
          <t>Q3263</t>
        </is>
      </c>
      <c r="D267" t="inlineStr">
        <is>
          <t>Invoice for services in SEP</t>
        </is>
      </c>
      <c r="E267" t="n">
        <v>3</v>
      </c>
    </row>
    <row r="268">
      <c r="B268" s="23" t="n">
        <v>45543</v>
      </c>
      <c r="C268" t="inlineStr">
        <is>
          <t>Q3264</t>
        </is>
      </c>
      <c r="D268" t="inlineStr">
        <is>
          <t>Invoice for services in SEP</t>
        </is>
      </c>
      <c r="E268" t="n">
        <v>63.2</v>
      </c>
    </row>
    <row r="269">
      <c r="B269" s="23" t="n">
        <v>45543</v>
      </c>
      <c r="C269" t="inlineStr">
        <is>
          <t>Q3265</t>
        </is>
      </c>
      <c r="D269" t="inlineStr">
        <is>
          <t>Invoice for services in SEP</t>
        </is>
      </c>
      <c r="E269" t="n">
        <v>3.75</v>
      </c>
    </row>
    <row r="270">
      <c r="B270" s="23" t="n">
        <v>45543</v>
      </c>
      <c r="C270" t="inlineStr">
        <is>
          <t>Q3266</t>
        </is>
      </c>
      <c r="D270" t="inlineStr">
        <is>
          <t>Invoice for services in SEP</t>
        </is>
      </c>
      <c r="E270" t="n">
        <v>3.5</v>
      </c>
    </row>
    <row r="271">
      <c r="B271" s="23" t="n">
        <v>45544</v>
      </c>
      <c r="C271" t="inlineStr">
        <is>
          <t>Q3267</t>
        </is>
      </c>
      <c r="D271" t="inlineStr">
        <is>
          <t>Invoice for services in SEP</t>
        </is>
      </c>
      <c r="E271" t="n">
        <v>1.75</v>
      </c>
    </row>
    <row r="272">
      <c r="B272" s="23" t="n">
        <v>45544</v>
      </c>
      <c r="C272" t="inlineStr">
        <is>
          <t>Q3268</t>
        </is>
      </c>
      <c r="D272" t="inlineStr">
        <is>
          <t>Invoice for services in SEP</t>
        </is>
      </c>
      <c r="E272" t="n">
        <v>17.48</v>
      </c>
    </row>
    <row r="273">
      <c r="B273" s="23" t="n">
        <v>45545</v>
      </c>
      <c r="C273" t="inlineStr">
        <is>
          <t>Q3269</t>
        </is>
      </c>
      <c r="D273" t="inlineStr">
        <is>
          <t>Invoice for services in SEP</t>
        </is>
      </c>
      <c r="E273" t="n">
        <v>25.75</v>
      </c>
    </row>
    <row r="274">
      <c r="B274" s="23" t="n">
        <v>45545</v>
      </c>
      <c r="C274" t="inlineStr">
        <is>
          <t>Q3270</t>
        </is>
      </c>
      <c r="D274" t="inlineStr">
        <is>
          <t>Invoice for services in SEP</t>
        </is>
      </c>
      <c r="E274" t="n">
        <v>5.55</v>
      </c>
    </row>
    <row r="275">
      <c r="B275" s="23" t="n">
        <v>45546</v>
      </c>
      <c r="C275" t="inlineStr">
        <is>
          <t>Q3271</t>
        </is>
      </c>
      <c r="D275" t="inlineStr">
        <is>
          <t>Invoice for services in SEP</t>
        </is>
      </c>
      <c r="E275" t="n">
        <v>9.5</v>
      </c>
    </row>
    <row r="276">
      <c r="B276" s="23" t="n">
        <v>45546</v>
      </c>
      <c r="C276" t="inlineStr">
        <is>
          <t>Q3272</t>
        </is>
      </c>
      <c r="D276" t="inlineStr">
        <is>
          <t>Invoice for services in SEP</t>
        </is>
      </c>
      <c r="E276" t="n">
        <v>7.5</v>
      </c>
    </row>
    <row r="277">
      <c r="B277" s="23" t="n">
        <v>45546</v>
      </c>
      <c r="C277" t="inlineStr">
        <is>
          <t>Q3273</t>
        </is>
      </c>
      <c r="D277" t="inlineStr">
        <is>
          <t>Invoice for services in SEP</t>
        </is>
      </c>
      <c r="E277" t="n">
        <v>4.95</v>
      </c>
    </row>
    <row r="278">
      <c r="B278" s="23" t="n">
        <v>45546</v>
      </c>
      <c r="C278" t="inlineStr">
        <is>
          <t>Q3274</t>
        </is>
      </c>
      <c r="D278" t="inlineStr">
        <is>
          <t>Invoice for services in SEP</t>
        </is>
      </c>
      <c r="E278" t="n">
        <v>15</v>
      </c>
    </row>
    <row r="279">
      <c r="B279" s="23" t="n">
        <v>45546</v>
      </c>
      <c r="C279" t="inlineStr">
        <is>
          <t>Q3275</t>
        </is>
      </c>
      <c r="D279" t="inlineStr">
        <is>
          <t>Invoice for services in SEP</t>
        </is>
      </c>
      <c r="E279" t="n">
        <v>15.98</v>
      </c>
    </row>
    <row r="280">
      <c r="B280" s="23" t="n">
        <v>45547</v>
      </c>
      <c r="C280" t="inlineStr">
        <is>
          <t>Q3276</t>
        </is>
      </c>
      <c r="D280" t="inlineStr">
        <is>
          <t>Invoice for services in SEP</t>
        </is>
      </c>
      <c r="E280" t="n">
        <v>7</v>
      </c>
    </row>
    <row r="281">
      <c r="B281" s="23" t="n">
        <v>45547</v>
      </c>
      <c r="C281" t="inlineStr">
        <is>
          <t>Q3277</t>
        </is>
      </c>
      <c r="D281" t="inlineStr">
        <is>
          <t>Invoice for services in SEP</t>
        </is>
      </c>
      <c r="E281" t="n">
        <v>3.5</v>
      </c>
    </row>
    <row r="282">
      <c r="B282" s="23" t="n">
        <v>45547</v>
      </c>
      <c r="C282" t="inlineStr">
        <is>
          <t>Q3278</t>
        </is>
      </c>
      <c r="D282" t="inlineStr">
        <is>
          <t>Invoice for services in SEP</t>
        </is>
      </c>
      <c r="E282" t="n">
        <v>3.75</v>
      </c>
    </row>
    <row r="283">
      <c r="B283" s="23" t="n">
        <v>45547</v>
      </c>
      <c r="C283" t="inlineStr">
        <is>
          <t>Q3279</t>
        </is>
      </c>
      <c r="D283" t="inlineStr">
        <is>
          <t>Invoice for services in SEP</t>
        </is>
      </c>
      <c r="E283" t="n">
        <v>3.15</v>
      </c>
    </row>
    <row r="284">
      <c r="B284" s="23" t="n">
        <v>45547</v>
      </c>
      <c r="C284" t="inlineStr">
        <is>
          <t>Q3280</t>
        </is>
      </c>
      <c r="D284" t="inlineStr">
        <is>
          <t>Invoice for services in SEP</t>
        </is>
      </c>
      <c r="E284" t="n">
        <v>0.7</v>
      </c>
    </row>
    <row r="285">
      <c r="B285" s="23" t="n">
        <v>45548</v>
      </c>
      <c r="C285" t="inlineStr">
        <is>
          <t>Q3281</t>
        </is>
      </c>
      <c r="D285" t="inlineStr">
        <is>
          <t>Invoice for services in SEP</t>
        </is>
      </c>
      <c r="E285" t="n">
        <v>3.5</v>
      </c>
    </row>
    <row r="286">
      <c r="B286" s="23" t="n">
        <v>45548</v>
      </c>
      <c r="C286" t="inlineStr">
        <is>
          <t>Q3282</t>
        </is>
      </c>
      <c r="D286" t="inlineStr">
        <is>
          <t>Invoice for services in SEP</t>
        </is>
      </c>
      <c r="E286" t="n">
        <v>3.75</v>
      </c>
    </row>
    <row r="287">
      <c r="B287" s="23" t="n">
        <v>45548</v>
      </c>
      <c r="C287" t="inlineStr">
        <is>
          <t>Q3283</t>
        </is>
      </c>
      <c r="D287" t="inlineStr">
        <is>
          <t>Invoice for services in SEP</t>
        </is>
      </c>
      <c r="E287" t="n">
        <v>2.6</v>
      </c>
    </row>
    <row r="288">
      <c r="B288" s="23" t="n">
        <v>45548</v>
      </c>
      <c r="C288" t="inlineStr">
        <is>
          <t>Q3284</t>
        </is>
      </c>
      <c r="D288" t="inlineStr">
        <is>
          <t>Invoice for services in SEP</t>
        </is>
      </c>
      <c r="E288" t="n">
        <v>4.95</v>
      </c>
    </row>
    <row r="289">
      <c r="B289" s="23" t="n">
        <v>45548</v>
      </c>
      <c r="C289" t="inlineStr">
        <is>
          <t>Q3285</t>
        </is>
      </c>
      <c r="D289" t="inlineStr">
        <is>
          <t>Invoice for services in SEP</t>
        </is>
      </c>
      <c r="E289" t="n">
        <v>9.800000000000001</v>
      </c>
    </row>
    <row r="290">
      <c r="B290" s="23" t="n">
        <v>45549</v>
      </c>
      <c r="C290" t="inlineStr">
        <is>
          <t>Q3286</t>
        </is>
      </c>
      <c r="D290" t="inlineStr">
        <is>
          <t>Invoice for services in SEP</t>
        </is>
      </c>
      <c r="E290" t="n">
        <v>1.75</v>
      </c>
    </row>
    <row r="291">
      <c r="B291" s="23" t="n">
        <v>45549</v>
      </c>
      <c r="C291" t="inlineStr">
        <is>
          <t>Q3287</t>
        </is>
      </c>
      <c r="D291" t="inlineStr">
        <is>
          <t>Invoice for services in SEP</t>
        </is>
      </c>
      <c r="E291" t="n">
        <v>5.4</v>
      </c>
    </row>
    <row r="292">
      <c r="B292" s="23" t="n">
        <v>45549</v>
      </c>
      <c r="C292" t="inlineStr">
        <is>
          <t>Q3288</t>
        </is>
      </c>
      <c r="D292" t="inlineStr">
        <is>
          <t>Invoice for services in SEP</t>
        </is>
      </c>
      <c r="E292" t="n">
        <v>8.5</v>
      </c>
    </row>
    <row r="293">
      <c r="B293" s="23" t="n">
        <v>45549</v>
      </c>
      <c r="C293" t="inlineStr">
        <is>
          <t>Q3289</t>
        </is>
      </c>
      <c r="D293" t="inlineStr">
        <is>
          <t>Invoice for services in SEP</t>
        </is>
      </c>
      <c r="E293" t="n">
        <v>41</v>
      </c>
    </row>
    <row r="294">
      <c r="B294" s="23" t="n">
        <v>45549</v>
      </c>
      <c r="C294" t="inlineStr">
        <is>
          <t>Q3290</t>
        </is>
      </c>
      <c r="D294" t="inlineStr">
        <is>
          <t>Invoice for services in SEP</t>
        </is>
      </c>
      <c r="E294" t="n">
        <v>5</v>
      </c>
    </row>
    <row r="295">
      <c r="B295" s="23" t="n">
        <v>45550</v>
      </c>
      <c r="C295" t="inlineStr">
        <is>
          <t>Q3291</t>
        </is>
      </c>
      <c r="D295" t="inlineStr">
        <is>
          <t>Invoice for services in SEP</t>
        </is>
      </c>
      <c r="E295" t="n">
        <v>3.5</v>
      </c>
    </row>
    <row r="296">
      <c r="B296" s="23" t="n">
        <v>45550</v>
      </c>
      <c r="C296" t="inlineStr">
        <is>
          <t>Q3292</t>
        </is>
      </c>
      <c r="D296" t="inlineStr">
        <is>
          <t>Invoice for services in SEP</t>
        </is>
      </c>
      <c r="E296" t="n">
        <v>13.85</v>
      </c>
    </row>
    <row r="297">
      <c r="B297" s="23" t="n">
        <v>45550</v>
      </c>
      <c r="C297" t="inlineStr">
        <is>
          <t>Q3293</t>
        </is>
      </c>
      <c r="D297" t="inlineStr">
        <is>
          <t>Invoice for services in SEP</t>
        </is>
      </c>
      <c r="E297" t="n">
        <v>1.69</v>
      </c>
    </row>
    <row r="298">
      <c r="B298" s="23" t="n">
        <v>45550</v>
      </c>
      <c r="C298" t="inlineStr">
        <is>
          <t>Q3294</t>
        </is>
      </c>
      <c r="D298" t="inlineStr">
        <is>
          <t>Invoice for services in SEP</t>
        </is>
      </c>
      <c r="E298" t="n">
        <v>3.13</v>
      </c>
    </row>
    <row r="299">
      <c r="B299" s="23" t="n">
        <v>45551</v>
      </c>
      <c r="C299" t="inlineStr">
        <is>
          <t>Q3295</t>
        </is>
      </c>
      <c r="D299" t="inlineStr">
        <is>
          <t>Invoice for services in SEP</t>
        </is>
      </c>
      <c r="E299" t="n">
        <v>3.5</v>
      </c>
    </row>
    <row r="300">
      <c r="B300" s="23" t="n">
        <v>45551</v>
      </c>
      <c r="C300" t="inlineStr">
        <is>
          <t>Q3296</t>
        </is>
      </c>
      <c r="D300" t="inlineStr">
        <is>
          <t>Invoice for services in SEP</t>
        </is>
      </c>
      <c r="E300" t="n">
        <v>45.8</v>
      </c>
    </row>
    <row r="301">
      <c r="B301" s="23" t="n">
        <v>45551</v>
      </c>
      <c r="C301" t="inlineStr">
        <is>
          <t>Q3297</t>
        </is>
      </c>
      <c r="D301" t="inlineStr">
        <is>
          <t>Invoice for services in SEP</t>
        </is>
      </c>
      <c r="E301" t="n">
        <v>17.93</v>
      </c>
    </row>
    <row r="302">
      <c r="B302" s="23" t="n">
        <v>45551</v>
      </c>
      <c r="C302" t="inlineStr">
        <is>
          <t>Q3298</t>
        </is>
      </c>
      <c r="D302" t="inlineStr">
        <is>
          <t>Invoice for services in SEP</t>
        </is>
      </c>
      <c r="E302" t="n">
        <v>6.93</v>
      </c>
    </row>
    <row r="303">
      <c r="B303" s="23" t="n">
        <v>45551</v>
      </c>
      <c r="C303" t="inlineStr">
        <is>
          <t>Q3299</t>
        </is>
      </c>
      <c r="D303" t="inlineStr">
        <is>
          <t>Invoice for services in SEP</t>
        </is>
      </c>
      <c r="E303" t="n">
        <v>43.54</v>
      </c>
    </row>
    <row r="304">
      <c r="B304" s="23" t="n">
        <v>45551</v>
      </c>
      <c r="C304" t="inlineStr">
        <is>
          <t>Q3300</t>
        </is>
      </c>
      <c r="D304" t="inlineStr">
        <is>
          <t>Invoice for services in SEP</t>
        </is>
      </c>
      <c r="E304" t="n">
        <v>68.63</v>
      </c>
    </row>
    <row r="305">
      <c r="B305" s="23" t="n">
        <v>45551</v>
      </c>
      <c r="C305" t="inlineStr">
        <is>
          <t>Q3301</t>
        </is>
      </c>
      <c r="D305" t="inlineStr">
        <is>
          <t>Invoice for services in SEP</t>
        </is>
      </c>
      <c r="E305" t="n">
        <v>36.09</v>
      </c>
    </row>
    <row r="306">
      <c r="B306" s="23" t="n">
        <v>45552</v>
      </c>
      <c r="C306" t="inlineStr">
        <is>
          <t>Q3302</t>
        </is>
      </c>
      <c r="D306" t="inlineStr">
        <is>
          <t>Invoice for services in SEP</t>
        </is>
      </c>
      <c r="E306" t="n">
        <v>6.9</v>
      </c>
    </row>
    <row r="307">
      <c r="B307" s="23" t="n">
        <v>45554</v>
      </c>
      <c r="C307" t="inlineStr">
        <is>
          <t>Q3303</t>
        </is>
      </c>
      <c r="D307" t="inlineStr">
        <is>
          <t>Invoice for services in SEP</t>
        </is>
      </c>
      <c r="E307" t="n">
        <v>43.11</v>
      </c>
    </row>
    <row r="308">
      <c r="B308" s="23" t="n">
        <v>45554</v>
      </c>
      <c r="C308" t="inlineStr">
        <is>
          <t>Q3304</t>
        </is>
      </c>
      <c r="D308" t="inlineStr">
        <is>
          <t>Invoice for services in SEP</t>
        </is>
      </c>
      <c r="E308" t="n">
        <v>15.22</v>
      </c>
    </row>
    <row r="309">
      <c r="B309" s="23" t="n">
        <v>45554</v>
      </c>
      <c r="C309" t="inlineStr">
        <is>
          <t>Q3305</t>
        </is>
      </c>
      <c r="D309" t="inlineStr">
        <is>
          <t>Invoice for services in SEP</t>
        </is>
      </c>
      <c r="E309" t="n">
        <v>24.95</v>
      </c>
    </row>
    <row r="310">
      <c r="B310" s="23" t="n">
        <v>45555</v>
      </c>
      <c r="C310" t="inlineStr">
        <is>
          <t>Q3306</t>
        </is>
      </c>
      <c r="D310" t="inlineStr">
        <is>
          <t>Invoice for services in SEP</t>
        </is>
      </c>
      <c r="E310" t="n">
        <v>11.68</v>
      </c>
    </row>
    <row r="311">
      <c r="B311" s="23" t="n">
        <v>45555</v>
      </c>
      <c r="C311" t="inlineStr">
        <is>
          <t>Q3307</t>
        </is>
      </c>
      <c r="D311" t="inlineStr">
        <is>
          <t>Invoice for services in SEP</t>
        </is>
      </c>
      <c r="E311" t="n">
        <v>2.87</v>
      </c>
    </row>
    <row r="312">
      <c r="B312" s="23" t="n">
        <v>45555</v>
      </c>
      <c r="C312" t="inlineStr">
        <is>
          <t>Q3308</t>
        </is>
      </c>
      <c r="D312" t="inlineStr">
        <is>
          <t>Invoice for services in SEP</t>
        </is>
      </c>
      <c r="E312" t="n">
        <v>3.79</v>
      </c>
    </row>
    <row r="313">
      <c r="B313" s="23" t="n">
        <v>45556</v>
      </c>
      <c r="C313" t="inlineStr">
        <is>
          <t>Q3309</t>
        </is>
      </c>
      <c r="D313" t="inlineStr">
        <is>
          <t>Invoice for services in SEP</t>
        </is>
      </c>
      <c r="E313" t="n">
        <v>6.35</v>
      </c>
    </row>
    <row r="314">
      <c r="B314" s="23" t="n">
        <v>45556</v>
      </c>
      <c r="C314" t="inlineStr">
        <is>
          <t>Q3310</t>
        </is>
      </c>
      <c r="D314" t="inlineStr">
        <is>
          <t>Invoice for services in SEP</t>
        </is>
      </c>
      <c r="E314" t="n">
        <v>3.75</v>
      </c>
    </row>
    <row r="315">
      <c r="B315" s="23" t="n">
        <v>45556</v>
      </c>
      <c r="C315" t="inlineStr">
        <is>
          <t>Q3311</t>
        </is>
      </c>
      <c r="D315" t="inlineStr">
        <is>
          <t>Invoice for services in SEP</t>
        </is>
      </c>
      <c r="E315" t="n">
        <v>40.33</v>
      </c>
    </row>
    <row r="316">
      <c r="B316" s="23" t="n">
        <v>45556</v>
      </c>
      <c r="C316" t="inlineStr">
        <is>
          <t>Q3312</t>
        </is>
      </c>
      <c r="D316" t="inlineStr">
        <is>
          <t>Invoice for services in SEP</t>
        </is>
      </c>
      <c r="E316" t="n">
        <v>3.88</v>
      </c>
    </row>
    <row r="317">
      <c r="B317" s="23" t="n">
        <v>45557</v>
      </c>
      <c r="C317" t="inlineStr">
        <is>
          <t>Q3313</t>
        </is>
      </c>
      <c r="D317" t="inlineStr">
        <is>
          <t>Invoice for services in SEP</t>
        </is>
      </c>
      <c r="E317" t="n">
        <v>13.6</v>
      </c>
    </row>
    <row r="318">
      <c r="B318" s="23" t="n">
        <v>45557</v>
      </c>
      <c r="C318" t="inlineStr">
        <is>
          <t>Q3314</t>
        </is>
      </c>
      <c r="D318" t="inlineStr">
        <is>
          <t>Invoice for services in SEP</t>
        </is>
      </c>
      <c r="E318" t="n">
        <v>4</v>
      </c>
    </row>
    <row r="319">
      <c r="B319" s="23" t="n">
        <v>45557</v>
      </c>
      <c r="C319" t="inlineStr">
        <is>
          <t>Q3315</t>
        </is>
      </c>
      <c r="D319" t="inlineStr">
        <is>
          <t>Invoice for services in SEP</t>
        </is>
      </c>
      <c r="E319" t="n">
        <v>6</v>
      </c>
    </row>
    <row r="320">
      <c r="B320" s="23" t="n">
        <v>45557</v>
      </c>
      <c r="C320" t="inlineStr">
        <is>
          <t>Q3316</t>
        </is>
      </c>
      <c r="D320" t="inlineStr">
        <is>
          <t>Invoice for services in SEP</t>
        </is>
      </c>
      <c r="E320" t="n">
        <v>3.05</v>
      </c>
    </row>
    <row r="321">
      <c r="B321" s="23" t="n">
        <v>45557</v>
      </c>
      <c r="C321" t="inlineStr">
        <is>
          <t>Q3317</t>
        </is>
      </c>
      <c r="D321" t="inlineStr">
        <is>
          <t>Invoice for services in SEP</t>
        </is>
      </c>
      <c r="E321" t="n">
        <v>2.7</v>
      </c>
    </row>
    <row r="322">
      <c r="B322" s="23" t="n">
        <v>45558</v>
      </c>
      <c r="C322" t="inlineStr">
        <is>
          <t>Q3318</t>
        </is>
      </c>
      <c r="D322" t="inlineStr">
        <is>
          <t>Invoice for services in SEP</t>
        </is>
      </c>
      <c r="E322" t="n">
        <v>1.75</v>
      </c>
    </row>
    <row r="323">
      <c r="B323" s="23" t="n">
        <v>45558</v>
      </c>
      <c r="C323" t="inlineStr">
        <is>
          <t>Q3319</t>
        </is>
      </c>
      <c r="D323" t="inlineStr">
        <is>
          <t>Invoice for services in SEP</t>
        </is>
      </c>
      <c r="E323" t="n">
        <v>2</v>
      </c>
    </row>
    <row r="324">
      <c r="B324" s="23" t="n">
        <v>45558</v>
      </c>
      <c r="C324" t="inlineStr">
        <is>
          <t>Q3320</t>
        </is>
      </c>
      <c r="D324" t="inlineStr">
        <is>
          <t>Invoice for services in SEP</t>
        </is>
      </c>
      <c r="E324" t="n">
        <v>4.94</v>
      </c>
    </row>
    <row r="325">
      <c r="B325" s="23" t="n">
        <v>45559</v>
      </c>
      <c r="C325" t="inlineStr">
        <is>
          <t>Q3321</t>
        </is>
      </c>
      <c r="D325" t="inlineStr">
        <is>
          <t>Invoice for services in SEP</t>
        </is>
      </c>
      <c r="E325" t="n">
        <v>32.99</v>
      </c>
    </row>
    <row r="326">
      <c r="B326" s="23" t="n">
        <v>45559</v>
      </c>
      <c r="C326" t="inlineStr">
        <is>
          <t>Q3322</t>
        </is>
      </c>
      <c r="D326" t="inlineStr">
        <is>
          <t>Invoice for services in SEP</t>
        </is>
      </c>
      <c r="E326" t="n">
        <v>3.65</v>
      </c>
    </row>
    <row r="327">
      <c r="B327" s="23" t="n">
        <v>45559</v>
      </c>
      <c r="C327" t="inlineStr">
        <is>
          <t>Q3323</t>
        </is>
      </c>
      <c r="D327" t="inlineStr">
        <is>
          <t>Invoice for services in SEP</t>
        </is>
      </c>
      <c r="E327" t="n">
        <v>3.5</v>
      </c>
    </row>
    <row r="328">
      <c r="B328" s="23" t="n">
        <v>45559</v>
      </c>
      <c r="C328" t="inlineStr">
        <is>
          <t>Q3324</t>
        </is>
      </c>
      <c r="D328" t="inlineStr">
        <is>
          <t>Invoice for services in SEP</t>
        </is>
      </c>
      <c r="E328" t="n">
        <v>32.86</v>
      </c>
    </row>
    <row r="329">
      <c r="B329" s="23" t="n">
        <v>45560</v>
      </c>
      <c r="C329" t="inlineStr">
        <is>
          <t>Q3325</t>
        </is>
      </c>
      <c r="D329" t="inlineStr">
        <is>
          <t>Invoice for services in SEP</t>
        </is>
      </c>
      <c r="E329" t="n">
        <v>10</v>
      </c>
    </row>
    <row r="330">
      <c r="B330" s="23" t="n">
        <v>45560</v>
      </c>
      <c r="C330" t="inlineStr">
        <is>
          <t>Q3326</t>
        </is>
      </c>
      <c r="D330" t="inlineStr">
        <is>
          <t>Invoice for services in SEP</t>
        </is>
      </c>
      <c r="E330" t="n">
        <v>8.15</v>
      </c>
    </row>
    <row r="331">
      <c r="B331" s="23" t="n">
        <v>45560</v>
      </c>
      <c r="C331" t="inlineStr">
        <is>
          <t>Q3327</t>
        </is>
      </c>
      <c r="D331" t="inlineStr">
        <is>
          <t>Invoice for services in SEP</t>
        </is>
      </c>
      <c r="E331" t="n">
        <v>3.45</v>
      </c>
    </row>
    <row r="332">
      <c r="B332" s="23" t="n">
        <v>45561</v>
      </c>
      <c r="C332" t="inlineStr">
        <is>
          <t>Q3328</t>
        </is>
      </c>
      <c r="D332" t="inlineStr">
        <is>
          <t>Invoice for services in SEP</t>
        </is>
      </c>
      <c r="E332" t="n">
        <v>3.5</v>
      </c>
    </row>
    <row r="333">
      <c r="B333" s="23" t="n">
        <v>45561</v>
      </c>
      <c r="C333" t="inlineStr">
        <is>
          <t>Q3329</t>
        </is>
      </c>
      <c r="D333" t="inlineStr">
        <is>
          <t>Invoice for services in SEP</t>
        </is>
      </c>
      <c r="E333" t="n">
        <v>33.44</v>
      </c>
    </row>
    <row r="334">
      <c r="B334" s="23" t="n">
        <v>45561</v>
      </c>
      <c r="C334" t="inlineStr">
        <is>
          <t>Q3330</t>
        </is>
      </c>
      <c r="D334" t="inlineStr">
        <is>
          <t>Invoice for services in SEP</t>
        </is>
      </c>
      <c r="E334" t="n">
        <v>15</v>
      </c>
    </row>
    <row r="335">
      <c r="B335" s="23" t="n">
        <v>45561</v>
      </c>
      <c r="C335" t="inlineStr">
        <is>
          <t>Q3331</t>
        </is>
      </c>
      <c r="D335" t="inlineStr">
        <is>
          <t>Invoice for services in SEP</t>
        </is>
      </c>
      <c r="E335" t="n">
        <v>3.75</v>
      </c>
    </row>
    <row r="336">
      <c r="B336" s="23" t="n">
        <v>45561</v>
      </c>
      <c r="C336" t="inlineStr">
        <is>
          <t>Q3332</t>
        </is>
      </c>
      <c r="D336" t="inlineStr">
        <is>
          <t>Invoice for services in SEP</t>
        </is>
      </c>
      <c r="E336" t="n">
        <v>41.12</v>
      </c>
    </row>
    <row r="337">
      <c r="B337" s="23" t="n">
        <v>45561</v>
      </c>
      <c r="C337" t="inlineStr">
        <is>
          <t>Q3333</t>
        </is>
      </c>
      <c r="D337" t="inlineStr">
        <is>
          <t>Invoice for services in SEP</t>
        </is>
      </c>
      <c r="E337" t="n">
        <v>4.9</v>
      </c>
    </row>
    <row r="338">
      <c r="B338" s="23" t="n">
        <v>45561</v>
      </c>
      <c r="C338" t="inlineStr">
        <is>
          <t>Q3334</t>
        </is>
      </c>
      <c r="D338" t="inlineStr">
        <is>
          <t>Invoice for services in SEP</t>
        </is>
      </c>
      <c r="E338" t="n">
        <v>67.34</v>
      </c>
    </row>
    <row r="339">
      <c r="B339" s="23" t="n">
        <v>45561</v>
      </c>
      <c r="C339" t="inlineStr">
        <is>
          <t>Q3335</t>
        </is>
      </c>
      <c r="D339" t="inlineStr">
        <is>
          <t>Invoice for services in SEP</t>
        </is>
      </c>
      <c r="E339" t="n">
        <v>62.37</v>
      </c>
    </row>
    <row r="340">
      <c r="B340" s="23" t="n">
        <v>45562</v>
      </c>
      <c r="C340" t="inlineStr">
        <is>
          <t>Q3336</t>
        </is>
      </c>
      <c r="D340" t="inlineStr">
        <is>
          <t>Invoice for services in SEP</t>
        </is>
      </c>
      <c r="E340" t="n">
        <v>3.5</v>
      </c>
    </row>
    <row r="341">
      <c r="B341" s="23" t="n">
        <v>45562</v>
      </c>
      <c r="C341" t="inlineStr">
        <is>
          <t>Q3337</t>
        </is>
      </c>
      <c r="D341" t="inlineStr">
        <is>
          <t>Invoice for services in SEP</t>
        </is>
      </c>
      <c r="E341" t="n">
        <v>4.14</v>
      </c>
    </row>
    <row r="342">
      <c r="B342" s="23" t="n">
        <v>45562</v>
      </c>
      <c r="C342" t="inlineStr">
        <is>
          <t>Q3338</t>
        </is>
      </c>
      <c r="D342" t="inlineStr">
        <is>
          <t>Invoice for services in SEP</t>
        </is>
      </c>
      <c r="E342" t="n">
        <v>4.19</v>
      </c>
    </row>
    <row r="343">
      <c r="B343" s="23" t="n">
        <v>45562</v>
      </c>
      <c r="C343" t="inlineStr">
        <is>
          <t>Q3339</t>
        </is>
      </c>
      <c r="D343" t="inlineStr">
        <is>
          <t>Invoice for services in SEP</t>
        </is>
      </c>
      <c r="E343" t="n">
        <v>2.35</v>
      </c>
    </row>
    <row r="344">
      <c r="B344" s="23" t="n">
        <v>45563</v>
      </c>
      <c r="C344" t="inlineStr">
        <is>
          <t>Q3340</t>
        </is>
      </c>
      <c r="D344" t="inlineStr">
        <is>
          <t>Invoice for services in SEP</t>
        </is>
      </c>
      <c r="E344" t="n">
        <v>5</v>
      </c>
    </row>
    <row r="345">
      <c r="B345" s="23" t="n">
        <v>45563</v>
      </c>
      <c r="C345" t="inlineStr">
        <is>
          <t>Q3341</t>
        </is>
      </c>
      <c r="D345" t="inlineStr">
        <is>
          <t>Invoice for services in SEP</t>
        </is>
      </c>
      <c r="E345" t="n">
        <v>3.5</v>
      </c>
    </row>
    <row r="346">
      <c r="B346" s="23" t="n">
        <v>45563</v>
      </c>
      <c r="C346" t="inlineStr">
        <is>
          <t>Q3342</t>
        </is>
      </c>
      <c r="D346" t="inlineStr">
        <is>
          <t>Invoice for services in SEP</t>
        </is>
      </c>
      <c r="E346" t="n">
        <v>6.84</v>
      </c>
    </row>
    <row r="347">
      <c r="B347" s="23" t="n">
        <v>45563</v>
      </c>
      <c r="C347" t="inlineStr">
        <is>
          <t>Q3343</t>
        </is>
      </c>
      <c r="D347" t="inlineStr">
        <is>
          <t>Invoice for services in SEP</t>
        </is>
      </c>
      <c r="E347" t="n">
        <v>62.15</v>
      </c>
    </row>
    <row r="348">
      <c r="B348" s="23" t="n">
        <v>45564</v>
      </c>
      <c r="C348" t="inlineStr">
        <is>
          <t>Q3344</t>
        </is>
      </c>
      <c r="D348" t="inlineStr">
        <is>
          <t>Invoice for services in SEP</t>
        </is>
      </c>
      <c r="E348" t="n">
        <v>10.22</v>
      </c>
    </row>
    <row r="349">
      <c r="B349" s="23" t="n">
        <v>45564</v>
      </c>
      <c r="C349" t="inlineStr">
        <is>
          <t>Q3345</t>
        </is>
      </c>
      <c r="D349" t="inlineStr">
        <is>
          <t>Invoice for services in SEP</t>
        </is>
      </c>
      <c r="E349" t="n">
        <v>7000</v>
      </c>
    </row>
    <row r="350">
      <c r="B350" s="23" t="n">
        <v>45564</v>
      </c>
      <c r="C350" t="inlineStr">
        <is>
          <t>Q3346</t>
        </is>
      </c>
      <c r="D350" t="inlineStr">
        <is>
          <t>Invoice for services in SEP</t>
        </is>
      </c>
      <c r="E350" t="n">
        <v>1.75</v>
      </c>
    </row>
    <row r="351">
      <c r="B351" s="23" t="n">
        <v>45564</v>
      </c>
      <c r="C351" t="inlineStr">
        <is>
          <t>Q3347</t>
        </is>
      </c>
      <c r="D351" t="inlineStr">
        <is>
          <t>Invoice for services in SEP</t>
        </is>
      </c>
      <c r="E351" t="n">
        <v>4.6</v>
      </c>
    </row>
    <row r="352">
      <c r="B352" s="23" t="n">
        <v>45564</v>
      </c>
      <c r="C352" t="inlineStr">
        <is>
          <t>Q3348</t>
        </is>
      </c>
      <c r="D352" t="inlineStr">
        <is>
          <t>Invoice for services in SEP</t>
        </is>
      </c>
      <c r="E352" t="n">
        <v>1.69</v>
      </c>
    </row>
    <row r="353">
      <c r="B353" s="23" t="n">
        <v>45564</v>
      </c>
      <c r="C353" t="inlineStr">
        <is>
          <t>Q3349</t>
        </is>
      </c>
      <c r="D353" t="inlineStr">
        <is>
          <t>Invoice for services in SEP</t>
        </is>
      </c>
      <c r="E353" t="n">
        <v>4.1</v>
      </c>
    </row>
    <row r="354">
      <c r="B354" s="23" t="n">
        <v>45565</v>
      </c>
      <c r="C354" t="inlineStr">
        <is>
          <t>Q3350</t>
        </is>
      </c>
      <c r="D354" t="inlineStr">
        <is>
          <t>Invoice for services in SEP</t>
        </is>
      </c>
      <c r="E354" t="n">
        <v>5.25</v>
      </c>
    </row>
    <row r="355">
      <c r="B355" s="23" t="n">
        <v>45565</v>
      </c>
      <c r="C355" t="inlineStr">
        <is>
          <t>Q3351</t>
        </is>
      </c>
      <c r="D355" t="inlineStr">
        <is>
          <t>Invoice for services in SEP</t>
        </is>
      </c>
      <c r="E355" t="n">
        <v>7.5</v>
      </c>
    </row>
    <row r="356">
      <c r="B356" s="23" t="n">
        <v>45565</v>
      </c>
      <c r="C356" t="inlineStr">
        <is>
          <t>Q3352</t>
        </is>
      </c>
      <c r="D356" t="inlineStr">
        <is>
          <t>Invoice for services in SEP</t>
        </is>
      </c>
      <c r="E356" t="n">
        <v>7.95</v>
      </c>
    </row>
    <row r="357">
      <c r="B357" s="23" t="n">
        <v>45565</v>
      </c>
      <c r="C357" t="inlineStr">
        <is>
          <t>Q3353</t>
        </is>
      </c>
      <c r="D357" t="inlineStr">
        <is>
          <t>Invoice for services in SEP</t>
        </is>
      </c>
      <c r="E357" t="n">
        <v>12.7</v>
      </c>
    </row>
    <row r="358">
      <c r="B358" s="23" t="n">
        <v>45565</v>
      </c>
      <c r="C358" t="inlineStr">
        <is>
          <t>Q3354</t>
        </is>
      </c>
      <c r="D358" t="inlineStr">
        <is>
          <t>Invoice for services in SEP</t>
        </is>
      </c>
      <c r="E358" t="n">
        <v>242.17</v>
      </c>
    </row>
    <row r="359">
      <c r="D359" s="7" t="inlineStr">
        <is>
          <t>Total for Q2</t>
        </is>
      </c>
      <c r="E359" s="6">
        <f>SUM(E5:E358)</f>
        <v/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tabColor rgb="FF00B050"/>
    <outlinePr summaryBelow="1" summaryRight="1"/>
    <pageSetUpPr fitToPage="1"/>
  </sheetPr>
  <dimension ref="A1:L51"/>
  <sheetViews>
    <sheetView showGridLines="0" workbookViewId="0">
      <selection activeCell="A1" sqref="A1"/>
    </sheetView>
  </sheetViews>
  <sheetFormatPr baseColWidth="8" defaultColWidth="12.63" defaultRowHeight="15.75" customHeight="1"/>
  <cols>
    <col width="9" customWidth="1" style="22" min="1" max="1"/>
    <col width="11.75" customWidth="1" style="22" min="2" max="2"/>
    <col width="7.75" customWidth="1" style="22" min="3" max="3"/>
    <col width="9.380000000000001" customWidth="1" style="22" min="4" max="4"/>
    <col width="12" customWidth="1" style="22" min="5" max="5"/>
    <col width="13.13" customWidth="1" style="22" min="6" max="6"/>
    <col width="11.75" customWidth="1" style="22" min="7" max="7"/>
    <col width="7.75" customWidth="1" style="22" min="8" max="8"/>
    <col width="11.38" customWidth="1" style="22" min="9" max="9"/>
    <col width="7.75" customWidth="1" style="22" min="10" max="10"/>
    <col width="10.88" customWidth="1" style="22" min="11" max="11"/>
    <col width="11.75" customWidth="1" style="22" min="12" max="12"/>
    <col width="7.75" customWidth="1" style="22" min="13" max="26"/>
  </cols>
  <sheetData>
    <row r="1">
      <c r="A1" s="7" t="inlineStr">
        <is>
          <t>BELOW ARE THE ACCOUNTING CATEGORIES OF THE SELF-EMPLOYED FOR MAKING TAX DIGITAL QUARTERLY FILINGS.</t>
        </is>
      </c>
      <c r="E1" s="10" t="n"/>
      <c r="F1" s="11" t="n"/>
    </row>
    <row r="2">
      <c r="A2" s="12" t="inlineStr">
        <is>
          <t>PLEASE NOTE THAT IF YOU ARE ON A SPECIFIC TAX SCHEME, PLEASE COMPLETE THE BOXES IN ACCORDANCE WITH YOUR SCHEME RULES.</t>
        </is>
      </c>
      <c r="E2" s="13" t="n"/>
      <c r="F2" s="11" t="n"/>
    </row>
    <row r="3">
      <c r="A3" s="12" t="inlineStr">
        <is>
          <t>IF YOU ARE UNSURE WHICH FIGURES GO INTO WHICH BOX, OR HOW TO CALCULATE ANY AMOUNTS, PLEASE CONTACT HM REVENUE &amp; CUSTOMS OR ENGAGE AN ACCOUNTANT.</t>
        </is>
      </c>
      <c r="E3" s="13" t="n"/>
      <c r="F3" s="11" t="n"/>
      <c r="K3" s="14" t="n"/>
    </row>
    <row r="4">
      <c r="E4" s="5" t="n"/>
      <c r="F4" s="11" t="n"/>
      <c r="K4" s="14" t="n"/>
    </row>
    <row r="5">
      <c r="D5" s="15" t="inlineStr">
        <is>
          <t>QUARTERLY SELF-EMPLOYMENT FIGURES</t>
        </is>
      </c>
      <c r="E5" s="5" t="n"/>
    </row>
    <row r="6">
      <c r="A6" s="15" t="inlineStr">
        <is>
          <t>HMRC Taxable Profit For Filing:</t>
        </is>
      </c>
      <c r="D6" s="14" t="n"/>
      <c r="E6" s="24">
        <f>G49</f>
        <v/>
      </c>
      <c r="F6" s="25" t="n"/>
      <c r="I6" s="3" t="n"/>
      <c r="K6" s="3" t="n"/>
    </row>
    <row r="7">
      <c r="B7" s="15" t="n"/>
      <c r="D7" s="14" t="n"/>
      <c r="E7" s="5" t="n"/>
      <c r="G7" s="3" t="inlineStr">
        <is>
          <t>£</t>
        </is>
      </c>
      <c r="I7" s="3" t="inlineStr">
        <is>
          <t>£</t>
        </is>
      </c>
      <c r="K7" s="3" t="inlineStr">
        <is>
          <t>£</t>
        </is>
      </c>
    </row>
    <row r="8">
      <c r="E8" s="18" t="n"/>
      <c r="G8" s="18" t="inlineStr">
        <is>
          <t>ALLOWABLE</t>
        </is>
      </c>
      <c r="I8" s="18" t="inlineStr">
        <is>
          <t>DISALLOW</t>
        </is>
      </c>
      <c r="K8" s="18" t="inlineStr">
        <is>
          <t>TOTAL</t>
        </is>
      </c>
    </row>
    <row r="9">
      <c r="A9" s="8" t="inlineStr">
        <is>
          <t>INCOME</t>
        </is>
      </c>
      <c r="E9" s="18" t="n"/>
      <c r="G9" s="18" t="n"/>
      <c r="I9" s="18" t="n"/>
      <c r="K9" s="18" t="n"/>
    </row>
    <row r="10">
      <c r="A10" s="12" t="inlineStr">
        <is>
          <t>Sales</t>
        </is>
      </c>
      <c r="B10" s="3" t="n"/>
      <c r="C10" s="3" t="n"/>
      <c r="D10" s="3" t="n"/>
      <c r="E10" s="18" t="n"/>
      <c r="F10" s="18" t="n"/>
      <c r="G10" s="19">
        <f>Sales!E50</f>
        <v/>
      </c>
      <c r="K10" s="5">
        <f>G10</f>
        <v/>
      </c>
    </row>
    <row r="11" ht="8.25" customHeight="1" s="22">
      <c r="A11" s="12" t="n"/>
      <c r="B11" s="3" t="n"/>
      <c r="C11" s="3" t="n"/>
      <c r="D11" s="3" t="n"/>
      <c r="E11" s="18" t="n"/>
      <c r="F11" s="18" t="n"/>
      <c r="K11" s="5" t="n"/>
    </row>
    <row r="12">
      <c r="A12" s="7" t="inlineStr">
        <is>
          <t>Other Business Income</t>
        </is>
      </c>
      <c r="G12" s="19" t="n">
        <v>0</v>
      </c>
      <c r="K12" s="5">
        <f>G12</f>
        <v/>
      </c>
    </row>
    <row r="13" ht="15" customHeight="1" s="22">
      <c r="G13" s="5" t="n"/>
    </row>
    <row r="14">
      <c r="A14" s="8" t="inlineStr">
        <is>
          <t>Total Income</t>
        </is>
      </c>
      <c r="G14" s="11">
        <f>SUM(G10:G12)</f>
        <v/>
      </c>
      <c r="L14" s="20">
        <f>SUM(K10:K12)</f>
        <v/>
      </c>
    </row>
    <row r="15"/>
    <row r="16">
      <c r="A16" s="8" t="inlineStr">
        <is>
          <t>EXPENSES</t>
        </is>
      </c>
    </row>
    <row r="17">
      <c r="A17" s="7" t="inlineStr">
        <is>
          <t>Cost of Goods (PUT ALL EXPENSES HERE IF USING CONSOLIDATED EXPENSES)</t>
        </is>
      </c>
      <c r="G17" s="19">
        <f>Purchases!E359</f>
        <v/>
      </c>
      <c r="I17" s="19" t="n">
        <v>0</v>
      </c>
      <c r="K17" s="5">
        <f>G17+I17</f>
        <v/>
      </c>
    </row>
    <row r="18" ht="9" customHeight="1" s="22">
      <c r="K18" s="5" t="n"/>
    </row>
    <row r="19">
      <c r="A19" s="7" t="inlineStr">
        <is>
          <t>CIS Subcontractors</t>
        </is>
      </c>
      <c r="G19" s="19" t="n">
        <v>0</v>
      </c>
      <c r="I19" s="19" t="n">
        <v>0</v>
      </c>
      <c r="K19" s="5">
        <f>G19+I19</f>
        <v/>
      </c>
    </row>
    <row r="20" ht="8.25" customHeight="1" s="22">
      <c r="K20" s="5" t="n"/>
    </row>
    <row r="21">
      <c r="A21" s="7" t="inlineStr">
        <is>
          <t>Staff Costs</t>
        </is>
      </c>
      <c r="G21" s="19" t="n">
        <v>0</v>
      </c>
      <c r="I21" s="19" t="n">
        <v>0</v>
      </c>
      <c r="K21" s="5">
        <f>G21+I21</f>
        <v/>
      </c>
    </row>
    <row r="22" ht="9" customHeight="1" s="22">
      <c r="K22" s="5" t="n"/>
    </row>
    <row r="23">
      <c r="A23" s="7" t="inlineStr">
        <is>
          <t>Travel Costs</t>
        </is>
      </c>
      <c r="G23" s="19" t="n">
        <v>0</v>
      </c>
      <c r="I23" s="19" t="n">
        <v>0</v>
      </c>
      <c r="K23" s="5">
        <f>G23+I23</f>
        <v/>
      </c>
    </row>
    <row r="24" ht="9" customHeight="1" s="22">
      <c r="K24" s="5" t="n"/>
    </row>
    <row r="25">
      <c r="A25" s="7" t="inlineStr">
        <is>
          <t>Premises Costs</t>
        </is>
      </c>
      <c r="G25" s="19" t="n">
        <v>0</v>
      </c>
      <c r="I25" s="19" t="n">
        <v>0</v>
      </c>
      <c r="K25" s="5">
        <f>G25+I25</f>
        <v/>
      </c>
    </row>
    <row r="26" ht="8.25" customHeight="1" s="22">
      <c r="K26" s="5" t="n"/>
    </row>
    <row r="27">
      <c r="A27" s="7" t="inlineStr">
        <is>
          <t>Maintenance Costs</t>
        </is>
      </c>
      <c r="G27" s="19" t="n">
        <v>0</v>
      </c>
      <c r="I27" s="19" t="n">
        <v>0</v>
      </c>
      <c r="K27" s="5">
        <f>G27+I27</f>
        <v/>
      </c>
    </row>
    <row r="28" ht="7.5" customHeight="1" s="22">
      <c r="K28" s="5" t="n"/>
    </row>
    <row r="29">
      <c r="A29" s="7" t="inlineStr">
        <is>
          <t>Admin Costs</t>
        </is>
      </c>
      <c r="G29" s="19" t="n">
        <v>0</v>
      </c>
      <c r="I29" s="19" t="n">
        <v>0</v>
      </c>
      <c r="K29" s="5">
        <f>G29+I29</f>
        <v/>
      </c>
    </row>
    <row r="30" ht="8.25" customHeight="1" s="22">
      <c r="K30" s="5" t="n"/>
    </row>
    <row r="31">
      <c r="A31" s="7" t="inlineStr">
        <is>
          <t>Advertising Costs</t>
        </is>
      </c>
      <c r="G31" s="19" t="n">
        <v>0</v>
      </c>
      <c r="I31" s="19" t="n">
        <v>0</v>
      </c>
      <c r="K31" s="5">
        <f>G31+I31</f>
        <v/>
      </c>
    </row>
    <row r="32" ht="8.25" customHeight="1" s="22">
      <c r="K32" s="5" t="n"/>
    </row>
    <row r="33">
      <c r="A33" s="7" t="inlineStr">
        <is>
          <t>Entertainment Costs</t>
        </is>
      </c>
      <c r="G33" s="19" t="n">
        <v>0</v>
      </c>
      <c r="I33" s="19" t="n">
        <v>0</v>
      </c>
      <c r="K33" s="5">
        <f>G33+I33</f>
        <v/>
      </c>
    </row>
    <row r="34" ht="9" customHeight="1" s="22">
      <c r="K34" s="5" t="n"/>
    </row>
    <row r="35">
      <c r="A35" s="7" t="inlineStr">
        <is>
          <t>Interest Payments</t>
        </is>
      </c>
      <c r="G35" s="19" t="n">
        <v>0</v>
      </c>
      <c r="I35" s="19" t="n">
        <v>0</v>
      </c>
      <c r="K35" s="5">
        <f>G35+I35</f>
        <v/>
      </c>
    </row>
    <row r="36" ht="9" customHeight="1" s="22">
      <c r="K36" s="5" t="n"/>
    </row>
    <row r="37">
      <c r="A37" s="7" t="inlineStr">
        <is>
          <t>Finance Charges</t>
        </is>
      </c>
      <c r="G37" s="19" t="n">
        <v>0</v>
      </c>
      <c r="I37" s="19" t="n">
        <v>0</v>
      </c>
      <c r="K37" s="5">
        <f>G37+I37</f>
        <v/>
      </c>
    </row>
    <row r="38" ht="9" customHeight="1" s="22">
      <c r="K38" s="5" t="n"/>
    </row>
    <row r="39">
      <c r="A39" s="7" t="inlineStr">
        <is>
          <t>Bad Debts</t>
        </is>
      </c>
      <c r="G39" s="19" t="n">
        <v>0</v>
      </c>
      <c r="I39" s="19" t="n">
        <v>0</v>
      </c>
      <c r="K39" s="5">
        <f>G39+I39</f>
        <v/>
      </c>
    </row>
    <row r="40" ht="8.25" customHeight="1" s="22">
      <c r="K40" s="5" t="n"/>
    </row>
    <row r="41">
      <c r="A41" s="7" t="inlineStr">
        <is>
          <t>Professional Fees</t>
        </is>
      </c>
      <c r="G41" s="19" t="n">
        <v>0</v>
      </c>
      <c r="I41" s="19" t="n">
        <v>0</v>
      </c>
      <c r="K41" s="5">
        <f>G41+I41</f>
        <v/>
      </c>
    </row>
    <row r="42" ht="8.25" customHeight="1" s="22">
      <c r="K42" s="5" t="n"/>
    </row>
    <row r="43">
      <c r="A43" s="7" t="inlineStr">
        <is>
          <t>Depreciation</t>
        </is>
      </c>
      <c r="G43" s="19" t="n">
        <v>0</v>
      </c>
      <c r="I43" s="19" t="n">
        <v>0</v>
      </c>
      <c r="K43" s="5">
        <f>G43+I43</f>
        <v/>
      </c>
    </row>
    <row r="44" ht="7.5" customHeight="1" s="22">
      <c r="K44" s="5" t="n"/>
    </row>
    <row r="45">
      <c r="A45" s="7" t="inlineStr">
        <is>
          <t>Other Expenses</t>
        </is>
      </c>
      <c r="G45" s="19" t="n">
        <v>0</v>
      </c>
      <c r="I45" s="19" t="n">
        <v>0</v>
      </c>
      <c r="K45" s="5">
        <f>G45+I45</f>
        <v/>
      </c>
    </row>
    <row r="46" ht="8.25" customHeight="1" s="22">
      <c r="G46" s="5" t="n"/>
      <c r="I46" s="5" t="n"/>
      <c r="K46" s="5" t="n"/>
    </row>
    <row r="47">
      <c r="A47" s="8" t="inlineStr">
        <is>
          <t>Total Expenses</t>
        </is>
      </c>
      <c r="G47" s="11">
        <f>SUM(G17:G45)</f>
        <v/>
      </c>
      <c r="I47" s="11">
        <f>SUM(I17:I45)</f>
        <v/>
      </c>
      <c r="K47" s="5" t="n"/>
    </row>
    <row r="48">
      <c r="L48" s="20">
        <f>-SUM(K17:K45)</f>
        <v/>
      </c>
    </row>
    <row r="49">
      <c r="A49" s="8" t="inlineStr">
        <is>
          <t>TAXABLE PROFIT, PER HMRC SUBMISSION TOTAL:</t>
        </is>
      </c>
      <c r="G49" s="6">
        <f>G14-G47</f>
        <v/>
      </c>
      <c r="I49" s="5" t="n"/>
    </row>
    <row r="50"/>
    <row r="51">
      <c r="A51" s="7" t="inlineStr">
        <is>
          <t>BUSINESS NET-PROFIT (FOR YOURE REFERENCE ONLY)</t>
        </is>
      </c>
      <c r="L51" s="21">
        <f>L14+L48</f>
        <v/>
      </c>
    </row>
  </sheetData>
  <mergeCells count="1">
    <mergeCell ref="E6:F6"/>
  </mergeCells>
  <pageMargins left="0.7" right="0.7" top="0.75" bottom="0.75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2026-03-02T21:03:44Z</dcterms:created>
  <dcterms:modified xsi:type="dcterms:W3CDTF">2026-03-02T21:03:44Z</dcterms:modified>
</cp:coreProperties>
</file>