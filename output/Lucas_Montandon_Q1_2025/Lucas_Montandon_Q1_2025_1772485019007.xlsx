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es" sheetId="1" state="visible" r:id="rId1"/>
    <sheet name="Purchases" sheetId="2" state="visible" r:id="rId2"/>
    <sheet name="ITSE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yyyy-mm-dd h:mm:ss"/>
  </numFmts>
  <fonts count="10">
    <font>
      <name val="Arial"/>
      <color rgb="FF000000"/>
      <sz val="10"/>
      <scheme val="minor"/>
    </font>
    <font>
      <name val="Calibri"/>
      <b val="1"/>
      <color theme="1"/>
      <sz val="22"/>
    </font>
    <font>
      <name val="Calibri"/>
      <color theme="1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Overlock"/>
      <b val="1"/>
      <color rgb="FF808080"/>
      <sz val="16"/>
    </font>
    <font>
      <name val="Calibri"/>
      <color rgb="FF000000"/>
      <sz val="11"/>
    </font>
    <font>
      <name val="Calibri"/>
      <b val="1"/>
      <color theme="1"/>
      <sz val="16"/>
    </font>
    <font>
      <name val="Calibri"/>
      <b val="1"/>
      <color theme="1"/>
      <sz val="14"/>
    </font>
    <font/>
  </fonts>
  <fills count="2">
    <fill>
      <patternFill/>
    </fill>
    <fill>
      <patternFill patternType="lightGray"/>
    </fill>
  </fills>
  <borders count="7">
    <border/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4" fontId="2" fillId="0" borderId="0" pivotButton="0" quotePrefix="0" xfId="0"/>
    <xf numFmtId="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4" fontId="2" fillId="0" borderId="0" pivotButton="0" quotePrefix="0" xfId="0"/>
    <xf numFmtId="4" fontId="5" fillId="0" borderId="0" applyAlignment="1" pivotButton="0" quotePrefix="0" xfId="0">
      <alignment horizontal="center" vertical="center"/>
    </xf>
    <xf numFmtId="4" fontId="3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7" fillId="0" borderId="0" pivotButton="0" quotePrefix="0" xfId="0"/>
    <xf numFmtId="164" fontId="8" fillId="0" borderId="2" applyAlignment="1" pivotButton="0" quotePrefix="0" xfId="0">
      <alignment horizontal="center"/>
    </xf>
    <xf numFmtId="0" fontId="9" fillId="0" borderId="3" pivotButton="0" quotePrefix="0" xfId="0"/>
    <xf numFmtId="4" fontId="3" fillId="0" borderId="0" applyAlignment="1" pivotButton="0" quotePrefix="0" xfId="0">
      <alignment horizontal="center"/>
    </xf>
    <xf numFmtId="4" fontId="2" fillId="0" borderId="4" pivotButton="0" quotePrefix="0" xfId="0"/>
    <xf numFmtId="4" fontId="2" fillId="0" borderId="5" pivotButton="0" quotePrefix="0" xfId="0"/>
    <xf numFmtId="4" fontId="2" fillId="0" borderId="1" pivotButton="0" quotePrefix="0" xfId="0"/>
    <xf numFmtId="0" fontId="0" fillId="0" borderId="0" pivotButton="0" quotePrefix="0" xfId="0"/>
    <xf numFmtId="165" fontId="0" fillId="0" borderId="0" pivotButton="0" quotePrefix="0" xfId="0"/>
    <xf numFmtId="164" fontId="8" fillId="0" borderId="4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SALES</t>
        </is>
      </c>
    </row>
    <row r="2"/>
    <row r="3"/>
    <row r="4">
      <c r="A4" s="2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B5" s="4" t="n">
        <v>45660</v>
      </c>
      <c r="C5" s="2" t="inlineStr">
        <is>
          <t>Q1001</t>
        </is>
      </c>
      <c r="D5" s="2" t="inlineStr">
        <is>
          <t>Invoice for services in JAN</t>
        </is>
      </c>
      <c r="E5" s="5" t="n">
        <v>1411.45</v>
      </c>
    </row>
    <row r="6">
      <c r="B6" s="4" t="n">
        <v>45665</v>
      </c>
      <c r="C6" s="2" t="inlineStr">
        <is>
          <t>Q1002</t>
        </is>
      </c>
      <c r="D6" s="2" t="inlineStr">
        <is>
          <t>Invoice for services in JAN</t>
        </is>
      </c>
      <c r="E6" s="5" t="n">
        <v>11</v>
      </c>
    </row>
    <row r="7">
      <c r="B7" s="4" t="n">
        <v>45670</v>
      </c>
      <c r="C7" s="2" t="inlineStr">
        <is>
          <t>Q1003</t>
        </is>
      </c>
      <c r="D7" s="2" t="inlineStr">
        <is>
          <t>Invoice for services in JAN</t>
        </is>
      </c>
      <c r="E7" s="5" t="n">
        <v>330</v>
      </c>
    </row>
    <row r="8">
      <c r="B8" s="4" t="n">
        <v>45674</v>
      </c>
      <c r="C8" s="2" t="inlineStr">
        <is>
          <t>Q1004</t>
        </is>
      </c>
      <c r="D8" s="2" t="inlineStr">
        <is>
          <t>Invoice for services in JAN</t>
        </is>
      </c>
      <c r="E8" s="5" t="n">
        <v>1223.3</v>
      </c>
    </row>
    <row r="9">
      <c r="B9" s="4" t="n">
        <v>45676</v>
      </c>
      <c r="C9" s="2" t="inlineStr">
        <is>
          <t>Q1005</t>
        </is>
      </c>
      <c r="D9" s="2" t="inlineStr">
        <is>
          <t>Invoice for services in JAN</t>
        </is>
      </c>
      <c r="E9" s="5" t="n">
        <v>34.19</v>
      </c>
    </row>
    <row r="10">
      <c r="B10" s="4" t="n">
        <v>45681</v>
      </c>
      <c r="C10" s="2" t="inlineStr">
        <is>
          <t>Q1006</t>
        </is>
      </c>
      <c r="D10" s="2" t="inlineStr">
        <is>
          <t>Invoice for services in JAN</t>
        </is>
      </c>
      <c r="E10" s="5" t="n">
        <v>1413.15</v>
      </c>
    </row>
    <row r="11">
      <c r="B11" s="4" t="n">
        <v>45684</v>
      </c>
      <c r="C11" s="2" t="inlineStr">
        <is>
          <t>Q1007</t>
        </is>
      </c>
      <c r="D11" s="2" t="inlineStr">
        <is>
          <t>Invoice for services in JAN</t>
        </is>
      </c>
      <c r="E11" s="5" t="n">
        <v>39.21</v>
      </c>
    </row>
    <row r="12">
      <c r="B12" s="4" t="n">
        <v>45688</v>
      </c>
      <c r="C12" s="2" t="inlineStr">
        <is>
          <t>Q1008</t>
        </is>
      </c>
      <c r="D12" s="2" t="inlineStr">
        <is>
          <t>Invoice for services in JAN</t>
        </is>
      </c>
      <c r="E12" s="5" t="n">
        <v>1588.37</v>
      </c>
    </row>
    <row r="13">
      <c r="B13" s="4" t="n">
        <v>45695</v>
      </c>
      <c r="C13" s="2" t="inlineStr">
        <is>
          <t>Q1009</t>
        </is>
      </c>
      <c r="D13" s="2" t="inlineStr">
        <is>
          <t>Invoice for services in FEB</t>
        </is>
      </c>
      <c r="E13" s="5" t="n">
        <v>250</v>
      </c>
    </row>
    <row r="14">
      <c r="B14" s="4" t="n">
        <v>45695</v>
      </c>
      <c r="C14" s="2" t="inlineStr">
        <is>
          <t>Q1010</t>
        </is>
      </c>
      <c r="D14" s="2" t="inlineStr">
        <is>
          <t>Invoice for services in FEB</t>
        </is>
      </c>
      <c r="E14" s="5" t="n">
        <v>49.62</v>
      </c>
    </row>
    <row r="15">
      <c r="B15" s="23" t="n">
        <v>45696</v>
      </c>
      <c r="C15" t="inlineStr">
        <is>
          <t>Q1011</t>
        </is>
      </c>
      <c r="D15" t="inlineStr">
        <is>
          <t>Invoice for services in FEB</t>
        </is>
      </c>
      <c r="E15" t="n">
        <v>2061.5</v>
      </c>
    </row>
    <row r="16">
      <c r="B16" s="23" t="n">
        <v>45703</v>
      </c>
      <c r="C16" t="inlineStr">
        <is>
          <t>Q1012</t>
        </is>
      </c>
      <c r="D16" t="inlineStr">
        <is>
          <t>Invoice for services in FEB</t>
        </is>
      </c>
      <c r="E16" t="n">
        <v>89.20999999999999</v>
      </c>
    </row>
    <row r="17">
      <c r="B17" s="23" t="n">
        <v>45703</v>
      </c>
      <c r="C17" t="inlineStr">
        <is>
          <t>Q1013</t>
        </is>
      </c>
      <c r="D17" t="inlineStr">
        <is>
          <t>Invoice for services in FEB</t>
        </is>
      </c>
      <c r="E17" t="n">
        <v>8.619999999999999</v>
      </c>
    </row>
    <row r="18">
      <c r="B18" s="23" t="n">
        <v>45703</v>
      </c>
      <c r="C18" t="inlineStr">
        <is>
          <t>Q1014</t>
        </is>
      </c>
      <c r="D18" t="inlineStr">
        <is>
          <t>Invoice for services in FEB</t>
        </is>
      </c>
      <c r="E18" t="n">
        <v>2163.3</v>
      </c>
    </row>
    <row r="19">
      <c r="B19" s="23" t="n">
        <v>45712</v>
      </c>
      <c r="C19" t="inlineStr">
        <is>
          <t>Q1015</t>
        </is>
      </c>
      <c r="D19" t="inlineStr">
        <is>
          <t>Invoice for services in FEB</t>
        </is>
      </c>
      <c r="E19" t="n">
        <v>500</v>
      </c>
    </row>
    <row r="20">
      <c r="B20" s="23" t="n">
        <v>45717</v>
      </c>
      <c r="C20" t="inlineStr">
        <is>
          <t>Q1016</t>
        </is>
      </c>
      <c r="D20" t="inlineStr">
        <is>
          <t>Invoice for services in MAR</t>
        </is>
      </c>
      <c r="E20" t="n">
        <v>4.47</v>
      </c>
    </row>
    <row r="21">
      <c r="B21" s="23" t="n">
        <v>45725</v>
      </c>
      <c r="C21" t="inlineStr">
        <is>
          <t>Q1017</t>
        </is>
      </c>
      <c r="D21" t="inlineStr">
        <is>
          <t>Invoice for services in MAR</t>
        </is>
      </c>
      <c r="E21" t="n">
        <v>2470.05</v>
      </c>
    </row>
    <row r="22">
      <c r="B22" s="23" t="n">
        <v>45731</v>
      </c>
      <c r="C22" t="inlineStr">
        <is>
          <t>Q1018</t>
        </is>
      </c>
      <c r="D22" t="inlineStr">
        <is>
          <t>Invoice for services in MAR</t>
        </is>
      </c>
      <c r="E22" t="n">
        <v>2262</v>
      </c>
    </row>
    <row r="23">
      <c r="B23" s="23" t="n">
        <v>45733</v>
      </c>
      <c r="C23" t="inlineStr">
        <is>
          <t>Q1019</t>
        </is>
      </c>
      <c r="D23" t="inlineStr">
        <is>
          <t>Invoice for services in MAR</t>
        </is>
      </c>
      <c r="E23" t="n">
        <v>7.5</v>
      </c>
    </row>
    <row r="24">
      <c r="B24" s="23" t="n">
        <v>45738</v>
      </c>
      <c r="C24" t="inlineStr">
        <is>
          <t>Q1020</t>
        </is>
      </c>
      <c r="D24" t="inlineStr">
        <is>
          <t>Invoice for services in MAR</t>
        </is>
      </c>
      <c r="E24" t="n">
        <v>2872.2</v>
      </c>
    </row>
    <row r="25">
      <c r="B25" s="23" t="n">
        <v>45746</v>
      </c>
      <c r="C25" t="inlineStr">
        <is>
          <t>Q1021</t>
        </is>
      </c>
      <c r="D25" t="inlineStr">
        <is>
          <t>Invoice for services in MAR</t>
        </is>
      </c>
      <c r="E25" t="n">
        <v>2211.5</v>
      </c>
    </row>
    <row r="26">
      <c r="E26" s="6">
        <f>SUM(E5:E25)</f>
        <v/>
      </c>
    </row>
    <row r="27"/>
    <row r="28"/>
    <row r="29"/>
    <row r="30">
      <c r="B30" s="7" t="inlineStr">
        <is>
          <t>Profit for Q2:</t>
        </is>
      </c>
      <c r="D30" s="2" t="inlineStr">
        <is>
          <t>Sales</t>
        </is>
      </c>
      <c r="E30" s="5">
        <f>E26</f>
        <v/>
      </c>
    </row>
    <row r="31">
      <c r="D31" s="2" t="inlineStr">
        <is>
          <t>Purchases</t>
        </is>
      </c>
      <c r="E31" s="5">
        <f>-Purchases!E262</f>
        <v/>
      </c>
    </row>
    <row r="32"/>
    <row r="33">
      <c r="D33" s="8" t="inlineStr">
        <is>
          <t>Profit for Q2:</t>
        </is>
      </c>
      <c r="E33" s="6">
        <f>SUM(E18:E21)</f>
        <v/>
      </c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Z262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PURCHASES</t>
        </is>
      </c>
    </row>
    <row r="2"/>
    <row r="3"/>
    <row r="4">
      <c r="A4" s="3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B5" s="4" t="n">
        <v>45658</v>
      </c>
      <c r="C5" s="2" t="inlineStr">
        <is>
          <t>Q1001</t>
        </is>
      </c>
      <c r="D5" s="2" t="inlineStr">
        <is>
          <t>Invoice for services in JAN</t>
        </is>
      </c>
      <c r="E5" s="5" t="n">
        <v>19.36</v>
      </c>
    </row>
    <row r="6">
      <c r="B6" s="4" t="n">
        <v>45658</v>
      </c>
      <c r="C6" s="2" t="inlineStr">
        <is>
          <t>Q1002</t>
        </is>
      </c>
      <c r="D6" s="2" t="inlineStr">
        <is>
          <t>Invoice for services in JAN</t>
        </is>
      </c>
      <c r="E6" s="5" t="n">
        <v>6.89</v>
      </c>
    </row>
    <row r="7">
      <c r="B7" s="4" t="n">
        <v>45658</v>
      </c>
      <c r="C7" s="2" t="inlineStr">
        <is>
          <t>Q1003</t>
        </is>
      </c>
      <c r="D7" s="2" t="inlineStr">
        <is>
          <t>Invoice for services in JAN</t>
        </is>
      </c>
      <c r="E7" s="5" t="n">
        <v>1.5</v>
      </c>
    </row>
    <row r="8">
      <c r="B8" s="9" t="n">
        <v>45659</v>
      </c>
      <c r="C8" t="inlineStr">
        <is>
          <t>Q1004</t>
        </is>
      </c>
      <c r="D8" t="inlineStr">
        <is>
          <t>Invoice for services in JAN</t>
        </is>
      </c>
      <c r="E8" s="5" t="n">
        <v>12.8</v>
      </c>
    </row>
    <row r="9">
      <c r="B9" s="23" t="n">
        <v>45659</v>
      </c>
      <c r="C9" t="inlineStr">
        <is>
          <t>Q1005</t>
        </is>
      </c>
      <c r="D9" t="inlineStr">
        <is>
          <t>Invoice for services in JAN</t>
        </is>
      </c>
      <c r="E9" t="n">
        <v>32.99</v>
      </c>
    </row>
    <row r="10">
      <c r="B10" s="23" t="n">
        <v>45659</v>
      </c>
      <c r="C10" t="inlineStr">
        <is>
          <t>Q1006</t>
        </is>
      </c>
      <c r="D10" t="inlineStr">
        <is>
          <t>Invoice for services in JAN</t>
        </is>
      </c>
      <c r="E10" t="n">
        <v>700</v>
      </c>
    </row>
    <row r="11">
      <c r="B11" s="23" t="n">
        <v>45659</v>
      </c>
      <c r="C11" t="inlineStr">
        <is>
          <t>Q1007</t>
        </is>
      </c>
      <c r="D11" t="inlineStr">
        <is>
          <t>Invoice for services in JAN</t>
        </is>
      </c>
      <c r="E11" t="n">
        <v>3.75</v>
      </c>
    </row>
    <row r="12">
      <c r="B12" s="23" t="n">
        <v>45659</v>
      </c>
      <c r="C12" t="inlineStr">
        <is>
          <t>Q1008</t>
        </is>
      </c>
      <c r="D12" t="inlineStr">
        <is>
          <t>Invoice for services in JAN</t>
        </is>
      </c>
      <c r="E12" t="n">
        <v>13.45</v>
      </c>
    </row>
    <row r="13">
      <c r="B13" s="23" t="n">
        <v>45659</v>
      </c>
      <c r="C13" t="inlineStr">
        <is>
          <t>Q1009</t>
        </is>
      </c>
      <c r="D13" t="inlineStr">
        <is>
          <t>Invoice for services in JAN</t>
        </is>
      </c>
      <c r="E13" t="n">
        <v>145.1</v>
      </c>
    </row>
    <row r="14">
      <c r="B14" s="23" t="n">
        <v>45660</v>
      </c>
      <c r="C14" t="inlineStr">
        <is>
          <t>Q1010</t>
        </is>
      </c>
      <c r="D14" t="inlineStr">
        <is>
          <t>Invoice for services in JAN</t>
        </is>
      </c>
      <c r="E14" t="n">
        <v>3.5</v>
      </c>
    </row>
    <row r="15">
      <c r="B15" s="23" t="n">
        <v>45660</v>
      </c>
      <c r="C15" t="inlineStr">
        <is>
          <t>Q1011</t>
        </is>
      </c>
      <c r="D15" t="inlineStr">
        <is>
          <t>Invoice for services in JAN</t>
        </is>
      </c>
      <c r="E15" t="n">
        <v>8</v>
      </c>
    </row>
    <row r="16">
      <c r="B16" s="23" t="n">
        <v>45660</v>
      </c>
      <c r="C16" t="inlineStr">
        <is>
          <t>Q1012</t>
        </is>
      </c>
      <c r="D16" t="inlineStr">
        <is>
          <t>Invoice for services in JAN</t>
        </is>
      </c>
      <c r="E16" t="n">
        <v>7.99</v>
      </c>
    </row>
    <row r="17">
      <c r="B17" s="23" t="n">
        <v>45660</v>
      </c>
      <c r="C17" t="inlineStr">
        <is>
          <t>Q1013</t>
        </is>
      </c>
      <c r="D17" t="inlineStr">
        <is>
          <t>Invoice for services in JAN</t>
        </is>
      </c>
      <c r="E17" t="n">
        <v>20</v>
      </c>
    </row>
    <row r="18">
      <c r="B18" s="23" t="n">
        <v>45660</v>
      </c>
      <c r="C18" t="inlineStr">
        <is>
          <t>Q1014</t>
        </is>
      </c>
      <c r="D18" t="inlineStr">
        <is>
          <t>Invoice for services in JAN</t>
        </is>
      </c>
      <c r="E18" t="n">
        <v>1000</v>
      </c>
    </row>
    <row r="19">
      <c r="B19" s="23" t="n">
        <v>45661</v>
      </c>
      <c r="C19" t="inlineStr">
        <is>
          <t>Q1015</t>
        </is>
      </c>
      <c r="D19" t="inlineStr">
        <is>
          <t>Invoice for services in JAN</t>
        </is>
      </c>
      <c r="E19" t="n">
        <v>2.99</v>
      </c>
    </row>
    <row r="20">
      <c r="B20" s="23" t="n">
        <v>45661</v>
      </c>
      <c r="C20" t="inlineStr">
        <is>
          <t>Q1016</t>
        </is>
      </c>
      <c r="D20" t="inlineStr">
        <is>
          <t>Invoice for services in JAN</t>
        </is>
      </c>
      <c r="E20" t="n">
        <v>15</v>
      </c>
    </row>
    <row r="21">
      <c r="B21" s="23" t="n">
        <v>45661</v>
      </c>
      <c r="C21" t="inlineStr">
        <is>
          <t>Q1017</t>
        </is>
      </c>
      <c r="D21" t="inlineStr">
        <is>
          <t>Invoice for services in JAN</t>
        </is>
      </c>
      <c r="E21" t="n">
        <v>3.5</v>
      </c>
    </row>
    <row r="22">
      <c r="B22" s="23" t="n">
        <v>45661</v>
      </c>
      <c r="C22" t="inlineStr">
        <is>
          <t>Q1018</t>
        </is>
      </c>
      <c r="D22" t="inlineStr">
        <is>
          <t>Invoice for services in JAN</t>
        </is>
      </c>
      <c r="E22" t="n">
        <v>4.95</v>
      </c>
    </row>
    <row r="23">
      <c r="B23" s="23" t="n">
        <v>45661</v>
      </c>
      <c r="C23" t="inlineStr">
        <is>
          <t>Q1019</t>
        </is>
      </c>
      <c r="D23" t="inlineStr">
        <is>
          <t>Invoice for services in JAN</t>
        </is>
      </c>
      <c r="E23" t="n">
        <v>3.4</v>
      </c>
    </row>
    <row r="24">
      <c r="B24" s="23" t="n">
        <v>45662</v>
      </c>
      <c r="C24" t="inlineStr">
        <is>
          <t>Q1020</t>
        </is>
      </c>
      <c r="D24" t="inlineStr">
        <is>
          <t>Invoice for services in JAN</t>
        </is>
      </c>
      <c r="E24" t="n">
        <v>3.5</v>
      </c>
    </row>
    <row r="25">
      <c r="B25" s="23" t="n">
        <v>45662</v>
      </c>
      <c r="C25" t="inlineStr">
        <is>
          <t>Q1021</t>
        </is>
      </c>
      <c r="D25" t="inlineStr">
        <is>
          <t>Invoice for services in JAN</t>
        </is>
      </c>
      <c r="E25" t="n">
        <v>2.1</v>
      </c>
    </row>
    <row r="26">
      <c r="B26" s="23" t="n">
        <v>45662</v>
      </c>
      <c r="C26" t="inlineStr">
        <is>
          <t>Q1022</t>
        </is>
      </c>
      <c r="D26" t="inlineStr">
        <is>
          <t>Invoice for services in JAN</t>
        </is>
      </c>
      <c r="E26" t="n">
        <v>1.25</v>
      </c>
    </row>
    <row r="27">
      <c r="B27" s="23" t="n">
        <v>45662</v>
      </c>
      <c r="C27" t="inlineStr">
        <is>
          <t>Q1023</t>
        </is>
      </c>
      <c r="D27" t="inlineStr">
        <is>
          <t>Invoice for services in JAN</t>
        </is>
      </c>
      <c r="E27" t="n">
        <v>17.2</v>
      </c>
    </row>
    <row r="28">
      <c r="B28" s="23" t="n">
        <v>45662</v>
      </c>
      <c r="C28" t="inlineStr">
        <is>
          <t>Q1024</t>
        </is>
      </c>
      <c r="D28" t="inlineStr">
        <is>
          <t>Invoice for services in JAN</t>
        </is>
      </c>
      <c r="E28" t="n">
        <v>4.7</v>
      </c>
    </row>
    <row r="29">
      <c r="B29" s="23" t="n">
        <v>45663</v>
      </c>
      <c r="C29" t="inlineStr">
        <is>
          <t>Q1025</t>
        </is>
      </c>
      <c r="D29" t="inlineStr">
        <is>
          <t>Invoice for services in JAN</t>
        </is>
      </c>
      <c r="E29" t="n">
        <v>4.45</v>
      </c>
    </row>
    <row r="30">
      <c r="B30" s="23" t="n">
        <v>45665</v>
      </c>
      <c r="C30" t="inlineStr">
        <is>
          <t>Q1026</t>
        </is>
      </c>
      <c r="D30" t="inlineStr">
        <is>
          <t>Invoice for services in JAN</t>
        </is>
      </c>
      <c r="E30" t="n">
        <v>20</v>
      </c>
    </row>
    <row r="31">
      <c r="B31" s="23" t="n">
        <v>45665</v>
      </c>
      <c r="C31" t="inlineStr">
        <is>
          <t>Q1027</t>
        </is>
      </c>
      <c r="D31" t="inlineStr">
        <is>
          <t>Invoice for services in JAN</t>
        </is>
      </c>
      <c r="E31" t="n">
        <v>13.67</v>
      </c>
    </row>
    <row r="32">
      <c r="B32" s="23" t="n">
        <v>45666</v>
      </c>
      <c r="C32" t="inlineStr">
        <is>
          <t>Q1028</t>
        </is>
      </c>
      <c r="D32" t="inlineStr">
        <is>
          <t>Invoice for services in JAN</t>
        </is>
      </c>
      <c r="E32" t="n">
        <v>3.5</v>
      </c>
    </row>
    <row r="33">
      <c r="B33" s="23" t="n">
        <v>45666</v>
      </c>
      <c r="C33" t="inlineStr">
        <is>
          <t>Q1029</t>
        </is>
      </c>
      <c r="D33" t="inlineStr">
        <is>
          <t>Invoice for services in JAN</t>
        </is>
      </c>
      <c r="E33" t="n">
        <v>2.5</v>
      </c>
    </row>
    <row r="34">
      <c r="B34" s="23" t="n">
        <v>45666</v>
      </c>
      <c r="C34" t="inlineStr">
        <is>
          <t>Q1030</t>
        </is>
      </c>
      <c r="D34" t="inlineStr">
        <is>
          <t>Invoice for services in JAN</t>
        </is>
      </c>
      <c r="E34" t="n">
        <v>13.85</v>
      </c>
    </row>
    <row r="35">
      <c r="B35" s="23" t="n">
        <v>45667</v>
      </c>
      <c r="C35" t="inlineStr">
        <is>
          <t>Q1031</t>
        </is>
      </c>
      <c r="D35" t="inlineStr">
        <is>
          <t>Invoice for services in JAN</t>
        </is>
      </c>
      <c r="E35" t="n">
        <v>3.5</v>
      </c>
    </row>
    <row r="36">
      <c r="B36" s="23" t="n">
        <v>45667</v>
      </c>
      <c r="C36" t="inlineStr">
        <is>
          <t>Q1032</t>
        </is>
      </c>
      <c r="D36" t="inlineStr">
        <is>
          <t>Invoice for services in JAN</t>
        </is>
      </c>
      <c r="E36" t="n">
        <v>3.75</v>
      </c>
    </row>
    <row r="37">
      <c r="B37" s="23" t="n">
        <v>45667</v>
      </c>
      <c r="C37" t="inlineStr">
        <is>
          <t>Q1033</t>
        </is>
      </c>
      <c r="D37" t="inlineStr">
        <is>
          <t>Invoice for services in JAN</t>
        </is>
      </c>
      <c r="E37" t="n">
        <v>2.3</v>
      </c>
    </row>
    <row r="38">
      <c r="B38" s="23" t="n">
        <v>45668</v>
      </c>
      <c r="C38" t="inlineStr">
        <is>
          <t>Q1034</t>
        </is>
      </c>
      <c r="D38" t="inlineStr">
        <is>
          <t>Invoice for services in JAN</t>
        </is>
      </c>
      <c r="E38" t="n">
        <v>3.5</v>
      </c>
    </row>
    <row r="39">
      <c r="B39" s="23" t="n">
        <v>45668</v>
      </c>
      <c r="C39" t="inlineStr">
        <is>
          <t>Q1035</t>
        </is>
      </c>
      <c r="D39" t="inlineStr">
        <is>
          <t>Invoice for services in JAN</t>
        </is>
      </c>
      <c r="E39" t="n">
        <v>3.1</v>
      </c>
    </row>
    <row r="40">
      <c r="B40" s="23" t="n">
        <v>45668</v>
      </c>
      <c r="C40" t="inlineStr">
        <is>
          <t>Q1036</t>
        </is>
      </c>
      <c r="D40" t="inlineStr">
        <is>
          <t>Invoice for services in JAN</t>
        </is>
      </c>
      <c r="E40" t="n">
        <v>2.75</v>
      </c>
    </row>
    <row r="41">
      <c r="B41" s="23" t="n">
        <v>45669</v>
      </c>
      <c r="C41" t="inlineStr">
        <is>
          <t>Q1037</t>
        </is>
      </c>
      <c r="D41" t="inlineStr">
        <is>
          <t>Invoice for services in JAN</t>
        </is>
      </c>
      <c r="E41" t="n">
        <v>317.06</v>
      </c>
    </row>
    <row r="42">
      <c r="B42" s="23" t="n">
        <v>45669</v>
      </c>
      <c r="C42" t="inlineStr">
        <is>
          <t>Q1038</t>
        </is>
      </c>
      <c r="D42" t="inlineStr">
        <is>
          <t>Invoice for services in JAN</t>
        </is>
      </c>
      <c r="E42" t="n">
        <v>3.5</v>
      </c>
    </row>
    <row r="43">
      <c r="B43" s="23" t="n">
        <v>45669</v>
      </c>
      <c r="C43" t="inlineStr">
        <is>
          <t>Q1039</t>
        </is>
      </c>
      <c r="D43" t="inlineStr">
        <is>
          <t>Invoice for services in JAN</t>
        </is>
      </c>
      <c r="E43" t="n">
        <v>3.75</v>
      </c>
    </row>
    <row r="44">
      <c r="B44" s="23" t="n">
        <v>45670</v>
      </c>
      <c r="C44" t="inlineStr">
        <is>
          <t>Q1040</t>
        </is>
      </c>
      <c r="D44" t="inlineStr">
        <is>
          <t>Invoice for services in JAN</t>
        </is>
      </c>
      <c r="E44" t="n">
        <v>1.75</v>
      </c>
    </row>
    <row r="45">
      <c r="B45" s="23" t="n">
        <v>45670</v>
      </c>
      <c r="C45" t="inlineStr">
        <is>
          <t>Q1041</t>
        </is>
      </c>
      <c r="D45" t="inlineStr">
        <is>
          <t>Invoice for services in JAN</t>
        </is>
      </c>
      <c r="E45" t="n">
        <v>7.04</v>
      </c>
    </row>
    <row r="46">
      <c r="B46" s="23" t="n">
        <v>45670</v>
      </c>
      <c r="C46" t="inlineStr">
        <is>
          <t>Q1042</t>
        </is>
      </c>
      <c r="D46" t="inlineStr">
        <is>
          <t>Invoice for services in JAN</t>
        </is>
      </c>
      <c r="E46" t="n">
        <v>15</v>
      </c>
    </row>
    <row r="47">
      <c r="B47" s="23" t="n">
        <v>45671</v>
      </c>
      <c r="C47" t="inlineStr">
        <is>
          <t>Q1043</t>
        </is>
      </c>
      <c r="D47" t="inlineStr">
        <is>
          <t>Invoice for services in JAN</t>
        </is>
      </c>
      <c r="E47" t="n">
        <v>4.45</v>
      </c>
    </row>
    <row r="48">
      <c r="B48" s="23" t="n">
        <v>45671</v>
      </c>
      <c r="C48" t="inlineStr">
        <is>
          <t>Q1044</t>
        </is>
      </c>
      <c r="D48" t="inlineStr">
        <is>
          <t>Invoice for services in JAN</t>
        </is>
      </c>
      <c r="E48" t="n">
        <v>21.98</v>
      </c>
    </row>
    <row r="49">
      <c r="B49" s="23" t="n">
        <v>45672</v>
      </c>
      <c r="C49" t="inlineStr">
        <is>
          <t>Q1045</t>
        </is>
      </c>
      <c r="D49" t="inlineStr">
        <is>
          <t>Invoice for services in JAN</t>
        </is>
      </c>
      <c r="E49" t="n">
        <v>4.5</v>
      </c>
    </row>
    <row r="50">
      <c r="B50" s="23" t="n">
        <v>45672</v>
      </c>
      <c r="C50" t="inlineStr">
        <is>
          <t>Q1046</t>
        </is>
      </c>
      <c r="D50" t="inlineStr">
        <is>
          <t>Invoice for services in JAN</t>
        </is>
      </c>
      <c r="E50" t="n">
        <v>1.9</v>
      </c>
    </row>
    <row r="51">
      <c r="B51" s="23" t="n">
        <v>45673</v>
      </c>
      <c r="C51" t="inlineStr">
        <is>
          <t>Q1047</t>
        </is>
      </c>
      <c r="D51" t="inlineStr">
        <is>
          <t>Invoice for services in JAN</t>
        </is>
      </c>
      <c r="E51" t="n">
        <v>4.45</v>
      </c>
    </row>
    <row r="52">
      <c r="B52" s="23" t="n">
        <v>45673</v>
      </c>
      <c r="C52" t="inlineStr">
        <is>
          <t>Q1048</t>
        </is>
      </c>
      <c r="D52" t="inlineStr">
        <is>
          <t>Invoice for services in JAN</t>
        </is>
      </c>
      <c r="E52" t="n">
        <v>12.5</v>
      </c>
    </row>
    <row r="53">
      <c r="B53" s="23" t="n">
        <v>45673</v>
      </c>
      <c r="C53" t="inlineStr">
        <is>
          <t>Q1049</t>
        </is>
      </c>
      <c r="D53" t="inlineStr">
        <is>
          <t>Invoice for services in JAN</t>
        </is>
      </c>
      <c r="E53" t="n">
        <v>3.75</v>
      </c>
    </row>
    <row r="54">
      <c r="B54" s="23" t="n">
        <v>45673</v>
      </c>
      <c r="C54" t="inlineStr">
        <is>
          <t>Q1050</t>
        </is>
      </c>
      <c r="D54" t="inlineStr">
        <is>
          <t>Invoice for services in JAN</t>
        </is>
      </c>
      <c r="E54" t="n">
        <v>4.85</v>
      </c>
    </row>
    <row r="55">
      <c r="B55" s="23" t="n">
        <v>45674</v>
      </c>
      <c r="C55" t="inlineStr">
        <is>
          <t>Q1051</t>
        </is>
      </c>
      <c r="D55" t="inlineStr">
        <is>
          <t>Invoice for services in JAN</t>
        </is>
      </c>
      <c r="E55" t="n">
        <v>4.45</v>
      </c>
    </row>
    <row r="56">
      <c r="B56" s="23" t="n">
        <v>45674</v>
      </c>
      <c r="C56" t="inlineStr">
        <is>
          <t>Q1052</t>
        </is>
      </c>
      <c r="D56" t="inlineStr">
        <is>
          <t>Invoice for services in JAN</t>
        </is>
      </c>
      <c r="E56" t="n">
        <v>2.15</v>
      </c>
    </row>
    <row r="57">
      <c r="B57" s="23" t="n">
        <v>45674</v>
      </c>
      <c r="C57" t="inlineStr">
        <is>
          <t>Q1053</t>
        </is>
      </c>
      <c r="D57" t="inlineStr">
        <is>
          <t>Invoice for services in JAN</t>
        </is>
      </c>
      <c r="E57" t="n">
        <v>3.35</v>
      </c>
    </row>
    <row r="58">
      <c r="B58" s="23" t="n">
        <v>45674</v>
      </c>
      <c r="C58" t="inlineStr">
        <is>
          <t>Q1054</t>
        </is>
      </c>
      <c r="D58" t="inlineStr">
        <is>
          <t>Invoice for services in JAN</t>
        </is>
      </c>
      <c r="E58" t="n">
        <v>4.97</v>
      </c>
    </row>
    <row r="59">
      <c r="B59" s="23" t="n">
        <v>45675</v>
      </c>
      <c r="C59" t="inlineStr">
        <is>
          <t>Q1055</t>
        </is>
      </c>
      <c r="D59" t="inlineStr">
        <is>
          <t>Invoice for services in JAN</t>
        </is>
      </c>
      <c r="E59" t="n">
        <v>3.5</v>
      </c>
    </row>
    <row r="60">
      <c r="B60" s="23" t="n">
        <v>45675</v>
      </c>
      <c r="C60" t="inlineStr">
        <is>
          <t>Q1056</t>
        </is>
      </c>
      <c r="D60" t="inlineStr">
        <is>
          <t>Invoice for services in JAN</t>
        </is>
      </c>
      <c r="E60" t="n">
        <v>6.54</v>
      </c>
    </row>
    <row r="61">
      <c r="B61" s="23" t="n">
        <v>45676</v>
      </c>
      <c r="C61" t="inlineStr">
        <is>
          <t>Q1057</t>
        </is>
      </c>
      <c r="D61" t="inlineStr">
        <is>
          <t>Invoice for services in JAN</t>
        </is>
      </c>
      <c r="E61" t="n">
        <v>3.5</v>
      </c>
    </row>
    <row r="62">
      <c r="B62" s="23" t="n">
        <v>45676</v>
      </c>
      <c r="C62" t="inlineStr">
        <is>
          <t>Q1058</t>
        </is>
      </c>
      <c r="D62" t="inlineStr">
        <is>
          <t>Invoice for services in JAN</t>
        </is>
      </c>
      <c r="E62" t="n">
        <v>3.75</v>
      </c>
    </row>
    <row r="63">
      <c r="B63" s="23" t="n">
        <v>45676</v>
      </c>
      <c r="C63" t="inlineStr">
        <is>
          <t>Q1059</t>
        </is>
      </c>
      <c r="D63" t="inlineStr">
        <is>
          <t>Invoice for services in JAN</t>
        </is>
      </c>
      <c r="E63" t="n">
        <v>4.75</v>
      </c>
    </row>
    <row r="64">
      <c r="B64" s="23" t="n">
        <v>45677</v>
      </c>
      <c r="C64" t="inlineStr">
        <is>
          <t>Q1060</t>
        </is>
      </c>
      <c r="D64" t="inlineStr">
        <is>
          <t>Invoice for services in JAN</t>
        </is>
      </c>
      <c r="E64" t="n">
        <v>1.75</v>
      </c>
    </row>
    <row r="65">
      <c r="B65" s="23" t="n">
        <v>45677</v>
      </c>
      <c r="C65" t="inlineStr">
        <is>
          <t>Q1061</t>
        </is>
      </c>
      <c r="D65" t="inlineStr">
        <is>
          <t>Invoice for services in JAN</t>
        </is>
      </c>
      <c r="E65" t="n">
        <v>3.2</v>
      </c>
    </row>
    <row r="66">
      <c r="B66" s="23" t="n">
        <v>45678</v>
      </c>
      <c r="C66" t="inlineStr">
        <is>
          <t>Q1062</t>
        </is>
      </c>
      <c r="D66" t="inlineStr">
        <is>
          <t>Invoice for services in JAN</t>
        </is>
      </c>
      <c r="E66" t="n">
        <v>3.5</v>
      </c>
    </row>
    <row r="67">
      <c r="B67" s="23" t="n">
        <v>45679</v>
      </c>
      <c r="C67" t="inlineStr">
        <is>
          <t>Q1063</t>
        </is>
      </c>
      <c r="D67" t="inlineStr">
        <is>
          <t>Invoice for services in JAN</t>
        </is>
      </c>
      <c r="E67" t="n">
        <v>7</v>
      </c>
    </row>
    <row r="68">
      <c r="B68" s="23" t="n">
        <v>45679</v>
      </c>
      <c r="C68" t="inlineStr">
        <is>
          <t>Q1064</t>
        </is>
      </c>
      <c r="D68" t="inlineStr">
        <is>
          <t>Invoice for services in JAN</t>
        </is>
      </c>
      <c r="E68" t="n">
        <v>71.58</v>
      </c>
    </row>
    <row r="69">
      <c r="B69" s="23" t="n">
        <v>45679</v>
      </c>
      <c r="C69" t="inlineStr">
        <is>
          <t>Q1065</t>
        </is>
      </c>
      <c r="D69" t="inlineStr">
        <is>
          <t>Invoice for services in JAN</t>
        </is>
      </c>
      <c r="E69" t="n">
        <v>10.15</v>
      </c>
    </row>
    <row r="70">
      <c r="B70" s="23" t="n">
        <v>45680</v>
      </c>
      <c r="C70" t="inlineStr">
        <is>
          <t>Q1066</t>
        </is>
      </c>
      <c r="D70" t="inlineStr">
        <is>
          <t>Invoice for services in JAN</t>
        </is>
      </c>
      <c r="E70" t="n">
        <v>4.45</v>
      </c>
    </row>
    <row r="71">
      <c r="B71" s="23" t="n">
        <v>45680</v>
      </c>
      <c r="C71" t="inlineStr">
        <is>
          <t>Q1067</t>
        </is>
      </c>
      <c r="D71" t="inlineStr">
        <is>
          <t>Invoice for services in JAN</t>
        </is>
      </c>
      <c r="E71" t="n">
        <v>7</v>
      </c>
    </row>
    <row r="72">
      <c r="B72" s="23" t="n">
        <v>45680</v>
      </c>
      <c r="C72" t="inlineStr">
        <is>
          <t>Q1068</t>
        </is>
      </c>
      <c r="D72" t="inlineStr">
        <is>
          <t>Invoice for services in JAN</t>
        </is>
      </c>
      <c r="E72" t="n">
        <v>11.15</v>
      </c>
    </row>
    <row r="73">
      <c r="B73" s="23" t="n">
        <v>45681</v>
      </c>
      <c r="C73" t="inlineStr">
        <is>
          <t>Q1069</t>
        </is>
      </c>
      <c r="D73" t="inlineStr">
        <is>
          <t>Invoice for services in JAN</t>
        </is>
      </c>
      <c r="E73" t="n">
        <v>3.5</v>
      </c>
    </row>
    <row r="74">
      <c r="B74" s="23" t="n">
        <v>45681</v>
      </c>
      <c r="C74" t="inlineStr">
        <is>
          <t>Q1070</t>
        </is>
      </c>
      <c r="D74" t="inlineStr">
        <is>
          <t>Invoice for services in JAN</t>
        </is>
      </c>
      <c r="E74" t="n">
        <v>6.55</v>
      </c>
    </row>
    <row r="75">
      <c r="B75" s="23" t="n">
        <v>45682</v>
      </c>
      <c r="C75" t="inlineStr">
        <is>
          <t>Q1071</t>
        </is>
      </c>
      <c r="D75" t="inlineStr">
        <is>
          <t>Invoice for services in JAN</t>
        </is>
      </c>
      <c r="E75" t="n">
        <v>3.5</v>
      </c>
    </row>
    <row r="76">
      <c r="B76" s="23" t="n">
        <v>45682</v>
      </c>
      <c r="C76" t="inlineStr">
        <is>
          <t>Q1072</t>
        </is>
      </c>
      <c r="D76" t="inlineStr">
        <is>
          <t>Invoice for services in JAN</t>
        </is>
      </c>
      <c r="E76" t="n">
        <v>1.75</v>
      </c>
    </row>
    <row r="77">
      <c r="B77" s="23" t="n">
        <v>45682</v>
      </c>
      <c r="C77" t="inlineStr">
        <is>
          <t>Q1073</t>
        </is>
      </c>
      <c r="D77" t="inlineStr">
        <is>
          <t>Invoice for services in JAN</t>
        </is>
      </c>
      <c r="E77" t="n">
        <v>5.9</v>
      </c>
    </row>
    <row r="78">
      <c r="B78" s="23" t="n">
        <v>45682</v>
      </c>
      <c r="C78" t="inlineStr">
        <is>
          <t>Q1074</t>
        </is>
      </c>
      <c r="D78" t="inlineStr">
        <is>
          <t>Invoice for services in JAN</t>
        </is>
      </c>
      <c r="E78" t="n">
        <v>17.99</v>
      </c>
    </row>
    <row r="79">
      <c r="B79" s="23" t="n">
        <v>45682</v>
      </c>
      <c r="C79" t="inlineStr">
        <is>
          <t>Q1075</t>
        </is>
      </c>
      <c r="D79" t="inlineStr">
        <is>
          <t>Invoice for services in JAN</t>
        </is>
      </c>
      <c r="E79" t="n">
        <v>45.2</v>
      </c>
    </row>
    <row r="80">
      <c r="B80" s="23" t="n">
        <v>45682</v>
      </c>
      <c r="C80" t="inlineStr">
        <is>
          <t>Q1076</t>
        </is>
      </c>
      <c r="D80" t="inlineStr">
        <is>
          <t>Invoice for services in JAN</t>
        </is>
      </c>
      <c r="E80" t="n">
        <v>30.38</v>
      </c>
    </row>
    <row r="81">
      <c r="B81" s="23" t="n">
        <v>45683</v>
      </c>
      <c r="C81" t="inlineStr">
        <is>
          <t>Q1077</t>
        </is>
      </c>
      <c r="D81" t="inlineStr">
        <is>
          <t>Invoice for services in JAN</t>
        </is>
      </c>
      <c r="E81" t="n">
        <v>2.7</v>
      </c>
    </row>
    <row r="82">
      <c r="B82" s="23" t="n">
        <v>45683</v>
      </c>
      <c r="C82" t="inlineStr">
        <is>
          <t>Q1078</t>
        </is>
      </c>
      <c r="D82" t="inlineStr">
        <is>
          <t>Invoice for services in JAN</t>
        </is>
      </c>
      <c r="E82" t="n">
        <v>27</v>
      </c>
    </row>
    <row r="83">
      <c r="B83" s="23" t="n">
        <v>45683</v>
      </c>
      <c r="C83" t="inlineStr">
        <is>
          <t>Q1079</t>
        </is>
      </c>
      <c r="D83" t="inlineStr">
        <is>
          <t>Invoice for services in JAN</t>
        </is>
      </c>
      <c r="E83" t="n">
        <v>12.15</v>
      </c>
    </row>
    <row r="84">
      <c r="B84" s="23" t="n">
        <v>45683</v>
      </c>
      <c r="C84" t="inlineStr">
        <is>
          <t>Q1080</t>
        </is>
      </c>
      <c r="D84" t="inlineStr">
        <is>
          <t>Invoice for services in JAN</t>
        </is>
      </c>
      <c r="E84" t="n">
        <v>8.199999999999999</v>
      </c>
    </row>
    <row r="85">
      <c r="B85" s="23" t="n">
        <v>45683</v>
      </c>
      <c r="C85" t="inlineStr">
        <is>
          <t>Q1081</t>
        </is>
      </c>
      <c r="D85" t="inlineStr">
        <is>
          <t>Invoice for services in JAN</t>
        </is>
      </c>
      <c r="E85" t="n">
        <v>11.89</v>
      </c>
    </row>
    <row r="86">
      <c r="B86" s="23" t="n">
        <v>45684</v>
      </c>
      <c r="C86" t="inlineStr">
        <is>
          <t>Q1082</t>
        </is>
      </c>
      <c r="D86" t="inlineStr">
        <is>
          <t>Invoice for services in JAN</t>
        </is>
      </c>
      <c r="E86" t="n">
        <v>12</v>
      </c>
    </row>
    <row r="87">
      <c r="B87" s="23" t="n">
        <v>45684</v>
      </c>
      <c r="C87" t="inlineStr">
        <is>
          <t>Q1083</t>
        </is>
      </c>
      <c r="D87" t="inlineStr">
        <is>
          <t>Invoice for services in JAN</t>
        </is>
      </c>
      <c r="E87" t="n">
        <v>51.19</v>
      </c>
    </row>
    <row r="88">
      <c r="B88" s="23" t="n">
        <v>45684</v>
      </c>
      <c r="C88" t="inlineStr">
        <is>
          <t>Q1084</t>
        </is>
      </c>
      <c r="D88" t="inlineStr">
        <is>
          <t>Invoice for services in JAN</t>
        </is>
      </c>
      <c r="E88" t="n">
        <v>8.199999999999999</v>
      </c>
    </row>
    <row r="89">
      <c r="B89" s="23" t="n">
        <v>45684</v>
      </c>
      <c r="C89" t="inlineStr">
        <is>
          <t>Q1085</t>
        </is>
      </c>
      <c r="D89" t="inlineStr">
        <is>
          <t>Invoice for services in JAN</t>
        </is>
      </c>
      <c r="E89" t="n">
        <v>18.3</v>
      </c>
    </row>
    <row r="90">
      <c r="B90" s="23" t="n">
        <v>45684</v>
      </c>
      <c r="C90" t="inlineStr">
        <is>
          <t>Q1086</t>
        </is>
      </c>
      <c r="D90" t="inlineStr">
        <is>
          <t>Invoice for services in JAN</t>
        </is>
      </c>
      <c r="E90" t="n">
        <v>5.25</v>
      </c>
    </row>
    <row r="91">
      <c r="B91" s="23" t="n">
        <v>45684</v>
      </c>
      <c r="C91" t="inlineStr">
        <is>
          <t>Q1087</t>
        </is>
      </c>
      <c r="D91" t="inlineStr">
        <is>
          <t>Invoice for services in JAN</t>
        </is>
      </c>
      <c r="E91" t="n">
        <v>15</v>
      </c>
    </row>
    <row r="92">
      <c r="B92" s="23" t="n">
        <v>45684</v>
      </c>
      <c r="C92" t="inlineStr">
        <is>
          <t>Q1088</t>
        </is>
      </c>
      <c r="D92" t="inlineStr">
        <is>
          <t>Invoice for services in JAN</t>
        </is>
      </c>
      <c r="E92" t="n">
        <v>7.55</v>
      </c>
    </row>
    <row r="93">
      <c r="B93" s="23" t="n">
        <v>45685</v>
      </c>
      <c r="C93" t="inlineStr">
        <is>
          <t>Q1089</t>
        </is>
      </c>
      <c r="D93" t="inlineStr">
        <is>
          <t>Invoice for services in JAN</t>
        </is>
      </c>
      <c r="E93" t="n">
        <v>5.8</v>
      </c>
    </row>
    <row r="94">
      <c r="B94" s="23" t="n">
        <v>45685</v>
      </c>
      <c r="C94" t="inlineStr">
        <is>
          <t>Q1090</t>
        </is>
      </c>
      <c r="D94" t="inlineStr">
        <is>
          <t>Invoice for services in JAN</t>
        </is>
      </c>
      <c r="E94" t="n">
        <v>10.5</v>
      </c>
    </row>
    <row r="95">
      <c r="B95" s="23" t="n">
        <v>45685</v>
      </c>
      <c r="C95" t="inlineStr">
        <is>
          <t>Q1091</t>
        </is>
      </c>
      <c r="D95" t="inlineStr">
        <is>
          <t>Invoice for services in JAN</t>
        </is>
      </c>
      <c r="E95" t="n">
        <v>21.25</v>
      </c>
    </row>
    <row r="96">
      <c r="B96" s="23" t="n">
        <v>45685</v>
      </c>
      <c r="C96" t="inlineStr">
        <is>
          <t>Q1092</t>
        </is>
      </c>
      <c r="D96" t="inlineStr">
        <is>
          <t>Invoice for services in JAN</t>
        </is>
      </c>
      <c r="E96" t="n">
        <v>6.76</v>
      </c>
    </row>
    <row r="97">
      <c r="B97" s="23" t="n">
        <v>45686</v>
      </c>
      <c r="C97" t="inlineStr">
        <is>
          <t>Q1093</t>
        </is>
      </c>
      <c r="D97" t="inlineStr">
        <is>
          <t>Invoice for services in JAN</t>
        </is>
      </c>
      <c r="E97" t="n">
        <v>8.5</v>
      </c>
    </row>
    <row r="98">
      <c r="B98" s="23" t="n">
        <v>45686</v>
      </c>
      <c r="C98" t="inlineStr">
        <is>
          <t>Q1094</t>
        </is>
      </c>
      <c r="D98" t="inlineStr">
        <is>
          <t>Invoice for services in JAN</t>
        </is>
      </c>
      <c r="E98" t="n">
        <v>7</v>
      </c>
    </row>
    <row r="99">
      <c r="B99" s="23" t="n">
        <v>45686</v>
      </c>
      <c r="C99" t="inlineStr">
        <is>
          <t>Q1095</t>
        </is>
      </c>
      <c r="D99" t="inlineStr">
        <is>
          <t>Invoice for services in JAN</t>
        </is>
      </c>
      <c r="E99" t="n">
        <v>6.13</v>
      </c>
    </row>
    <row r="100">
      <c r="B100" s="23" t="n">
        <v>45687</v>
      </c>
      <c r="C100" t="inlineStr">
        <is>
          <t>Q1096</t>
        </is>
      </c>
      <c r="D100" t="inlineStr">
        <is>
          <t>Invoice for services in JAN</t>
        </is>
      </c>
      <c r="E100" t="n">
        <v>5.4</v>
      </c>
    </row>
    <row r="101">
      <c r="B101" s="23" t="n">
        <v>45687</v>
      </c>
      <c r="C101" t="inlineStr">
        <is>
          <t>Q1097</t>
        </is>
      </c>
      <c r="D101" t="inlineStr">
        <is>
          <t>Invoice for services in JAN</t>
        </is>
      </c>
      <c r="E101" t="n">
        <v>9</v>
      </c>
    </row>
    <row r="102">
      <c r="B102" s="23" t="n">
        <v>45687</v>
      </c>
      <c r="C102" t="inlineStr">
        <is>
          <t>Q1098</t>
        </is>
      </c>
      <c r="D102" t="inlineStr">
        <is>
          <t>Invoice for services in JAN</t>
        </is>
      </c>
      <c r="E102" t="n">
        <v>101.81</v>
      </c>
    </row>
    <row r="103">
      <c r="B103" s="23" t="n">
        <v>45688</v>
      </c>
      <c r="C103" t="inlineStr">
        <is>
          <t>Q1099</t>
        </is>
      </c>
      <c r="D103" t="inlineStr">
        <is>
          <t>Invoice for services in JAN</t>
        </is>
      </c>
      <c r="E103" t="n">
        <v>5</v>
      </c>
    </row>
    <row r="104">
      <c r="B104" s="23" t="n">
        <v>45688</v>
      </c>
      <c r="C104" t="inlineStr">
        <is>
          <t>Q1100</t>
        </is>
      </c>
      <c r="D104" t="inlineStr">
        <is>
          <t>Invoice for services in JAN</t>
        </is>
      </c>
      <c r="E104" t="n">
        <v>7.15</v>
      </c>
    </row>
    <row r="105">
      <c r="B105" s="23" t="n">
        <v>45688</v>
      </c>
      <c r="C105" t="inlineStr">
        <is>
          <t>Q1101</t>
        </is>
      </c>
      <c r="D105" t="inlineStr">
        <is>
          <t>Invoice for services in JAN</t>
        </is>
      </c>
      <c r="E105" t="n">
        <v>6.87</v>
      </c>
    </row>
    <row r="106">
      <c r="B106" s="23" t="n">
        <v>45689</v>
      </c>
      <c r="C106" t="inlineStr">
        <is>
          <t>Q1102</t>
        </is>
      </c>
      <c r="D106" t="inlineStr">
        <is>
          <t>Invoice for services in FEB</t>
        </is>
      </c>
      <c r="E106" t="n">
        <v>3.5</v>
      </c>
    </row>
    <row r="107">
      <c r="B107" s="23" t="n">
        <v>45689</v>
      </c>
      <c r="C107" t="inlineStr">
        <is>
          <t>Q1103</t>
        </is>
      </c>
      <c r="D107" t="inlineStr">
        <is>
          <t>Invoice for services in FEB</t>
        </is>
      </c>
      <c r="E107" t="n">
        <v>7</v>
      </c>
    </row>
    <row r="108">
      <c r="B108" s="23" t="n">
        <v>45689</v>
      </c>
      <c r="C108" t="inlineStr">
        <is>
          <t>Q1104</t>
        </is>
      </c>
      <c r="D108" t="inlineStr">
        <is>
          <t>Invoice for services in FEB</t>
        </is>
      </c>
      <c r="E108" t="n">
        <v>700</v>
      </c>
    </row>
    <row r="109">
      <c r="B109" s="23" t="n">
        <v>45690</v>
      </c>
      <c r="C109" t="inlineStr">
        <is>
          <t>Q1105</t>
        </is>
      </c>
      <c r="D109" t="inlineStr">
        <is>
          <t>Invoice for services in FEB</t>
        </is>
      </c>
      <c r="E109" t="n">
        <v>3.5</v>
      </c>
    </row>
    <row r="110">
      <c r="B110" s="23" t="n">
        <v>45690</v>
      </c>
      <c r="C110" t="inlineStr">
        <is>
          <t>Q1106</t>
        </is>
      </c>
      <c r="D110" t="inlineStr">
        <is>
          <t>Invoice for services in FEB</t>
        </is>
      </c>
      <c r="E110" t="n">
        <v>3.75</v>
      </c>
    </row>
    <row r="111">
      <c r="B111" s="23" t="n">
        <v>45691</v>
      </c>
      <c r="C111" t="inlineStr">
        <is>
          <t>Q1107</t>
        </is>
      </c>
      <c r="D111" t="inlineStr">
        <is>
          <t>Invoice for services in FEB</t>
        </is>
      </c>
      <c r="E111" t="n">
        <v>32.99</v>
      </c>
    </row>
    <row r="112">
      <c r="B112" s="23" t="n">
        <v>45691</v>
      </c>
      <c r="C112" t="inlineStr">
        <is>
          <t>Q1108</t>
        </is>
      </c>
      <c r="D112" t="inlineStr">
        <is>
          <t>Invoice for services in FEB</t>
        </is>
      </c>
      <c r="E112" t="n">
        <v>3.5</v>
      </c>
    </row>
    <row r="113">
      <c r="B113" s="23" t="n">
        <v>45691</v>
      </c>
      <c r="C113" t="inlineStr">
        <is>
          <t>Q1109</t>
        </is>
      </c>
      <c r="D113" t="inlineStr">
        <is>
          <t>Invoice for services in FEB</t>
        </is>
      </c>
      <c r="E113" t="n">
        <v>9</v>
      </c>
    </row>
    <row r="114">
      <c r="B114" s="23" t="n">
        <v>45692</v>
      </c>
      <c r="C114" t="inlineStr">
        <is>
          <t>Q1110</t>
        </is>
      </c>
      <c r="D114" t="inlineStr">
        <is>
          <t>Invoice for services in FEB</t>
        </is>
      </c>
      <c r="E114" t="n">
        <v>2.99</v>
      </c>
    </row>
    <row r="115">
      <c r="B115" s="23" t="n">
        <v>45692</v>
      </c>
      <c r="C115" t="inlineStr">
        <is>
          <t>Q1111</t>
        </is>
      </c>
      <c r="D115" t="inlineStr">
        <is>
          <t>Invoice for services in FEB</t>
        </is>
      </c>
      <c r="E115" t="n">
        <v>2.5</v>
      </c>
    </row>
    <row r="116">
      <c r="B116" s="23" t="n">
        <v>45693</v>
      </c>
      <c r="C116" t="inlineStr">
        <is>
          <t>Q1112</t>
        </is>
      </c>
      <c r="D116" t="inlineStr">
        <is>
          <t>Invoice for services in FEB</t>
        </is>
      </c>
      <c r="E116" t="n">
        <v>67.02</v>
      </c>
    </row>
    <row r="117">
      <c r="B117" s="23" t="n">
        <v>45693</v>
      </c>
      <c r="C117" t="inlineStr">
        <is>
          <t>Q1113</t>
        </is>
      </c>
      <c r="D117" t="inlineStr">
        <is>
          <t>Invoice for services in FEB</t>
        </is>
      </c>
      <c r="E117" t="n">
        <v>5.6</v>
      </c>
    </row>
    <row r="118">
      <c r="B118" s="23" t="n">
        <v>45693</v>
      </c>
      <c r="C118" t="inlineStr">
        <is>
          <t>Q1114</t>
        </is>
      </c>
      <c r="D118" t="inlineStr">
        <is>
          <t>Invoice for services in FEB</t>
        </is>
      </c>
      <c r="E118" t="n">
        <v>6.34</v>
      </c>
    </row>
    <row r="119">
      <c r="B119" s="23" t="n">
        <v>45694</v>
      </c>
      <c r="C119" t="inlineStr">
        <is>
          <t>Q1115</t>
        </is>
      </c>
      <c r="D119" t="inlineStr">
        <is>
          <t>Invoice for services in FEB</t>
        </is>
      </c>
      <c r="E119" t="n">
        <v>5.71</v>
      </c>
    </row>
    <row r="120">
      <c r="B120" s="23" t="n">
        <v>45694</v>
      </c>
      <c r="C120" t="inlineStr">
        <is>
          <t>Q1116</t>
        </is>
      </c>
      <c r="D120" t="inlineStr">
        <is>
          <t>Invoice for services in FEB</t>
        </is>
      </c>
      <c r="E120" t="n">
        <v>14.44</v>
      </c>
    </row>
    <row r="121">
      <c r="B121" s="23" t="n">
        <v>45694</v>
      </c>
      <c r="C121" t="inlineStr">
        <is>
          <t>Q1117</t>
        </is>
      </c>
      <c r="D121" t="inlineStr">
        <is>
          <t>Invoice for services in FEB</t>
        </is>
      </c>
      <c r="E121" t="n">
        <v>167.79</v>
      </c>
    </row>
    <row r="122">
      <c r="B122" s="23" t="n">
        <v>45694</v>
      </c>
      <c r="C122" t="inlineStr">
        <is>
          <t>Q1118</t>
        </is>
      </c>
      <c r="D122" t="inlineStr">
        <is>
          <t>Invoice for services in FEB</t>
        </is>
      </c>
      <c r="E122" t="n">
        <v>58.26</v>
      </c>
    </row>
    <row r="123">
      <c r="B123" s="23" t="n">
        <v>45695</v>
      </c>
      <c r="C123" t="inlineStr">
        <is>
          <t>Q1119</t>
        </is>
      </c>
      <c r="D123" t="inlineStr">
        <is>
          <t>Invoice for services in FEB</t>
        </is>
      </c>
      <c r="E123" t="n">
        <v>65.44</v>
      </c>
    </row>
    <row r="124">
      <c r="B124" s="23" t="n">
        <v>45695</v>
      </c>
      <c r="C124" t="inlineStr">
        <is>
          <t>Q1120</t>
        </is>
      </c>
      <c r="D124" t="inlineStr">
        <is>
          <t>Invoice for services in FEB</t>
        </is>
      </c>
      <c r="E124" t="n">
        <v>49.62</v>
      </c>
    </row>
    <row r="125">
      <c r="B125" s="23" t="n">
        <v>45695</v>
      </c>
      <c r="C125" t="inlineStr">
        <is>
          <t>Q1121</t>
        </is>
      </c>
      <c r="D125" t="inlineStr">
        <is>
          <t>Invoice for services in FEB</t>
        </is>
      </c>
      <c r="E125" t="n">
        <v>4.47</v>
      </c>
    </row>
    <row r="126">
      <c r="B126" s="23" t="n">
        <v>45696</v>
      </c>
      <c r="C126" t="inlineStr">
        <is>
          <t>Q1122</t>
        </is>
      </c>
      <c r="D126" t="inlineStr">
        <is>
          <t>Invoice for services in FEB</t>
        </is>
      </c>
      <c r="E126" t="n">
        <v>17.52</v>
      </c>
    </row>
    <row r="127">
      <c r="B127" s="23" t="n">
        <v>45697</v>
      </c>
      <c r="C127" t="inlineStr">
        <is>
          <t>Q1123</t>
        </is>
      </c>
      <c r="D127" t="inlineStr">
        <is>
          <t>Invoice for services in FEB</t>
        </is>
      </c>
      <c r="E127" t="n">
        <v>100.23</v>
      </c>
    </row>
    <row r="128">
      <c r="B128" s="23" t="n">
        <v>45697</v>
      </c>
      <c r="C128" t="inlineStr">
        <is>
          <t>Q1124</t>
        </is>
      </c>
      <c r="D128" t="inlineStr">
        <is>
          <t>Invoice for services in FEB</t>
        </is>
      </c>
      <c r="E128" t="n">
        <v>13.71</v>
      </c>
    </row>
    <row r="129">
      <c r="B129" s="23" t="n">
        <v>45699</v>
      </c>
      <c r="C129" t="inlineStr">
        <is>
          <t>Q1125</t>
        </is>
      </c>
      <c r="D129" t="inlineStr">
        <is>
          <t>Invoice for services in FEB</t>
        </is>
      </c>
      <c r="E129" t="n">
        <v>80.68000000000001</v>
      </c>
    </row>
    <row r="130">
      <c r="B130" s="23" t="n">
        <v>45699</v>
      </c>
      <c r="C130" t="inlineStr">
        <is>
          <t>Q1126</t>
        </is>
      </c>
      <c r="D130" t="inlineStr">
        <is>
          <t>Invoice for services in FEB</t>
        </is>
      </c>
      <c r="E130" t="n">
        <v>37.14</v>
      </c>
    </row>
    <row r="131">
      <c r="B131" s="23" t="n">
        <v>45699</v>
      </c>
      <c r="C131" t="inlineStr">
        <is>
          <t>Q1127</t>
        </is>
      </c>
      <c r="D131" t="inlineStr">
        <is>
          <t>Invoice for services in FEB</t>
        </is>
      </c>
      <c r="E131" t="n">
        <v>752.5</v>
      </c>
    </row>
    <row r="132">
      <c r="B132" s="23" t="n">
        <v>45701</v>
      </c>
      <c r="C132" t="inlineStr">
        <is>
          <t>Q1128</t>
        </is>
      </c>
      <c r="D132" t="inlineStr">
        <is>
          <t>Invoice for services in FEB</t>
        </is>
      </c>
      <c r="E132" t="n">
        <v>80.81</v>
      </c>
    </row>
    <row r="133">
      <c r="B133" s="23" t="n">
        <v>45701</v>
      </c>
      <c r="C133" t="inlineStr">
        <is>
          <t>Q1129</t>
        </is>
      </c>
      <c r="D133" t="inlineStr">
        <is>
          <t>Invoice for services in FEB</t>
        </is>
      </c>
      <c r="E133" t="n">
        <v>67.63</v>
      </c>
    </row>
    <row r="134">
      <c r="B134" s="23" t="n">
        <v>45702</v>
      </c>
      <c r="C134" t="inlineStr">
        <is>
          <t>Q1130</t>
        </is>
      </c>
      <c r="D134" t="inlineStr">
        <is>
          <t>Invoice for services in FEB</t>
        </is>
      </c>
      <c r="E134" t="n">
        <v>9.640000000000001</v>
      </c>
    </row>
    <row r="135">
      <c r="B135" s="23" t="n">
        <v>45702</v>
      </c>
      <c r="C135" t="inlineStr">
        <is>
          <t>Q1131</t>
        </is>
      </c>
      <c r="D135" t="inlineStr">
        <is>
          <t>Invoice for services in FEB</t>
        </is>
      </c>
      <c r="E135" t="n">
        <v>89.20999999999999</v>
      </c>
    </row>
    <row r="136">
      <c r="B136" s="23" t="n">
        <v>45702</v>
      </c>
      <c r="C136" t="inlineStr">
        <is>
          <t>Q1132</t>
        </is>
      </c>
      <c r="D136" t="inlineStr">
        <is>
          <t>Invoice for services in FEB</t>
        </is>
      </c>
      <c r="E136" t="n">
        <v>46.9</v>
      </c>
    </row>
    <row r="137">
      <c r="B137" s="23" t="n">
        <v>45703</v>
      </c>
      <c r="C137" t="inlineStr">
        <is>
          <t>Q1133</t>
        </is>
      </c>
      <c r="D137" t="inlineStr">
        <is>
          <t>Invoice for services in FEB</t>
        </is>
      </c>
      <c r="E137" t="n">
        <v>89.42</v>
      </c>
    </row>
    <row r="138">
      <c r="B138" s="23" t="n">
        <v>45705</v>
      </c>
      <c r="C138" t="inlineStr">
        <is>
          <t>Q1134</t>
        </is>
      </c>
      <c r="D138" t="inlineStr">
        <is>
          <t>Invoice for services in FEB</t>
        </is>
      </c>
      <c r="E138" t="n">
        <v>52.89</v>
      </c>
    </row>
    <row r="139">
      <c r="B139" s="23" t="n">
        <v>45705</v>
      </c>
      <c r="C139" t="inlineStr">
        <is>
          <t>Q1135</t>
        </is>
      </c>
      <c r="D139" t="inlineStr">
        <is>
          <t>Invoice for services in FEB</t>
        </is>
      </c>
      <c r="E139" t="n">
        <v>3.36</v>
      </c>
    </row>
    <row r="140">
      <c r="B140" s="23" t="n">
        <v>45705</v>
      </c>
      <c r="C140" t="inlineStr">
        <is>
          <t>Q1136</t>
        </is>
      </c>
      <c r="D140" t="inlineStr">
        <is>
          <t>Invoice for services in FEB</t>
        </is>
      </c>
      <c r="E140" t="n">
        <v>4000</v>
      </c>
    </row>
    <row r="141">
      <c r="B141" s="23" t="n">
        <v>45705</v>
      </c>
      <c r="C141" t="inlineStr">
        <is>
          <t>Q1137</t>
        </is>
      </c>
      <c r="D141" t="inlineStr">
        <is>
          <t>Invoice for services in FEB</t>
        </is>
      </c>
      <c r="E141" t="n">
        <v>13.3</v>
      </c>
    </row>
    <row r="142">
      <c r="B142" s="23" t="n">
        <v>45705</v>
      </c>
      <c r="C142" t="inlineStr">
        <is>
          <t>Q1138</t>
        </is>
      </c>
      <c r="D142" t="inlineStr">
        <is>
          <t>Invoice for services in FEB</t>
        </is>
      </c>
      <c r="E142" t="n">
        <v>1000</v>
      </c>
    </row>
    <row r="143">
      <c r="B143" s="23" t="n">
        <v>45705</v>
      </c>
      <c r="C143" t="inlineStr">
        <is>
          <t>Q1139</t>
        </is>
      </c>
      <c r="D143" t="inlineStr">
        <is>
          <t>Invoice for services in FEB</t>
        </is>
      </c>
      <c r="E143" t="n">
        <v>9.67</v>
      </c>
    </row>
    <row r="144">
      <c r="B144" s="23" t="n">
        <v>45706</v>
      </c>
      <c r="C144" t="inlineStr">
        <is>
          <t>Q1140</t>
        </is>
      </c>
      <c r="D144" t="inlineStr">
        <is>
          <t>Invoice for services in FEB</t>
        </is>
      </c>
      <c r="E144" t="n">
        <v>12.1</v>
      </c>
    </row>
    <row r="145">
      <c r="B145" s="23" t="n">
        <v>45707</v>
      </c>
      <c r="C145" t="inlineStr">
        <is>
          <t>Q1141</t>
        </is>
      </c>
      <c r="D145" t="inlineStr">
        <is>
          <t>Invoice for services in FEB</t>
        </is>
      </c>
      <c r="E145" t="n">
        <v>5</v>
      </c>
    </row>
    <row r="146">
      <c r="B146" s="23" t="n">
        <v>45707</v>
      </c>
      <c r="C146" t="inlineStr">
        <is>
          <t>Q1142</t>
        </is>
      </c>
      <c r="D146" t="inlineStr">
        <is>
          <t>Invoice for services in FEB</t>
        </is>
      </c>
      <c r="E146" t="n">
        <v>9.199999999999999</v>
      </c>
    </row>
    <row r="147">
      <c r="B147" s="23" t="n">
        <v>45708</v>
      </c>
      <c r="C147" t="inlineStr">
        <is>
          <t>Q1143</t>
        </is>
      </c>
      <c r="D147" t="inlineStr">
        <is>
          <t>Invoice for services in FEB</t>
        </is>
      </c>
      <c r="E147" t="n">
        <v>3.5</v>
      </c>
    </row>
    <row r="148">
      <c r="B148" s="23" t="n">
        <v>45708</v>
      </c>
      <c r="C148" t="inlineStr">
        <is>
          <t>Q1144</t>
        </is>
      </c>
      <c r="D148" t="inlineStr">
        <is>
          <t>Invoice for services in FEB</t>
        </is>
      </c>
      <c r="E148" t="n">
        <v>30.69</v>
      </c>
    </row>
    <row r="149">
      <c r="B149" s="23" t="n">
        <v>45708</v>
      </c>
      <c r="C149" t="inlineStr">
        <is>
          <t>Q1145</t>
        </is>
      </c>
      <c r="D149" t="inlineStr">
        <is>
          <t>Invoice for services in FEB</t>
        </is>
      </c>
      <c r="E149" t="n">
        <v>8</v>
      </c>
    </row>
    <row r="150">
      <c r="B150" s="23" t="n">
        <v>45708</v>
      </c>
      <c r="C150" t="inlineStr">
        <is>
          <t>Q1146</t>
        </is>
      </c>
      <c r="D150" t="inlineStr">
        <is>
          <t>Invoice for services in FEB</t>
        </is>
      </c>
      <c r="E150" t="n">
        <v>7.2</v>
      </c>
    </row>
    <row r="151">
      <c r="B151" s="23" t="n">
        <v>45709</v>
      </c>
      <c r="C151" t="inlineStr">
        <is>
          <t>Q1147</t>
        </is>
      </c>
      <c r="D151" t="inlineStr">
        <is>
          <t>Invoice for services in FEB</t>
        </is>
      </c>
      <c r="E151" t="n">
        <v>3.5</v>
      </c>
    </row>
    <row r="152">
      <c r="B152" s="23" t="n">
        <v>45709</v>
      </c>
      <c r="C152" t="inlineStr">
        <is>
          <t>Q1148</t>
        </is>
      </c>
      <c r="D152" t="inlineStr">
        <is>
          <t>Invoice for services in FEB</t>
        </is>
      </c>
      <c r="E152" t="n">
        <v>6.4</v>
      </c>
    </row>
    <row r="153">
      <c r="B153" s="23" t="n">
        <v>45710</v>
      </c>
      <c r="C153" t="inlineStr">
        <is>
          <t>Q1149</t>
        </is>
      </c>
      <c r="D153" t="inlineStr">
        <is>
          <t>Invoice for services in FEB</t>
        </is>
      </c>
      <c r="E153" t="n">
        <v>3.5</v>
      </c>
    </row>
    <row r="154">
      <c r="B154" s="23" t="n">
        <v>45710</v>
      </c>
      <c r="C154" t="inlineStr">
        <is>
          <t>Q1150</t>
        </is>
      </c>
      <c r="D154" t="inlineStr">
        <is>
          <t>Invoice for services in FEB</t>
        </is>
      </c>
      <c r="E154" t="n">
        <v>5</v>
      </c>
    </row>
    <row r="155">
      <c r="B155" s="23" t="n">
        <v>45710</v>
      </c>
      <c r="C155" t="inlineStr">
        <is>
          <t>Q1151</t>
        </is>
      </c>
      <c r="D155" t="inlineStr">
        <is>
          <t>Invoice for services in FEB</t>
        </is>
      </c>
      <c r="E155" t="n">
        <v>10.58</v>
      </c>
    </row>
    <row r="156">
      <c r="B156" s="23" t="n">
        <v>45711</v>
      </c>
      <c r="C156" t="inlineStr">
        <is>
          <t>Q1152</t>
        </is>
      </c>
      <c r="D156" t="inlineStr">
        <is>
          <t>Invoice for services in FEB</t>
        </is>
      </c>
      <c r="E156" t="n">
        <v>3.5</v>
      </c>
    </row>
    <row r="157">
      <c r="B157" s="23" t="n">
        <v>45711</v>
      </c>
      <c r="C157" t="inlineStr">
        <is>
          <t>Q1153</t>
        </is>
      </c>
      <c r="D157" t="inlineStr">
        <is>
          <t>Invoice for services in FEB</t>
        </is>
      </c>
      <c r="E157" t="n">
        <v>3.8</v>
      </c>
    </row>
    <row r="158">
      <c r="B158" s="23" t="n">
        <v>45711</v>
      </c>
      <c r="C158" t="inlineStr">
        <is>
          <t>Q1154</t>
        </is>
      </c>
      <c r="D158" t="inlineStr">
        <is>
          <t>Invoice for services in FEB</t>
        </is>
      </c>
      <c r="E158" t="n">
        <v>27.28</v>
      </c>
    </row>
    <row r="159">
      <c r="B159" s="23" t="n">
        <v>45712</v>
      </c>
      <c r="C159" t="inlineStr">
        <is>
          <t>Q1155</t>
        </is>
      </c>
      <c r="D159" t="inlineStr">
        <is>
          <t>Invoice for services in FEB</t>
        </is>
      </c>
      <c r="E159" t="n">
        <v>8.5</v>
      </c>
    </row>
    <row r="160">
      <c r="B160" s="23" t="n">
        <v>45713</v>
      </c>
      <c r="C160" t="inlineStr">
        <is>
          <t>Q1156</t>
        </is>
      </c>
      <c r="D160" t="inlineStr">
        <is>
          <t>Invoice for services in FEB</t>
        </is>
      </c>
      <c r="E160" t="n">
        <v>2000</v>
      </c>
    </row>
    <row r="161">
      <c r="B161" s="23" t="n">
        <v>45713</v>
      </c>
      <c r="C161" t="inlineStr">
        <is>
          <t>Q1157</t>
        </is>
      </c>
      <c r="D161" t="inlineStr">
        <is>
          <t>Invoice for services in FEB</t>
        </is>
      </c>
      <c r="E161" t="n">
        <v>106.12</v>
      </c>
    </row>
    <row r="162">
      <c r="B162" s="23" t="n">
        <v>45713</v>
      </c>
      <c r="C162" t="inlineStr">
        <is>
          <t>Q1158</t>
        </is>
      </c>
      <c r="D162" t="inlineStr">
        <is>
          <t>Invoice for services in FEB</t>
        </is>
      </c>
      <c r="E162" t="n">
        <v>9.42</v>
      </c>
    </row>
    <row r="163">
      <c r="B163" s="23" t="n">
        <v>45714</v>
      </c>
      <c r="C163" t="inlineStr">
        <is>
          <t>Q1159</t>
        </is>
      </c>
      <c r="D163" t="inlineStr">
        <is>
          <t>Invoice for services in FEB</t>
        </is>
      </c>
      <c r="E163" t="n">
        <v>33.44</v>
      </c>
    </row>
    <row r="164">
      <c r="B164" s="23" t="n">
        <v>45714</v>
      </c>
      <c r="C164" t="inlineStr">
        <is>
          <t>Q1160</t>
        </is>
      </c>
      <c r="D164" t="inlineStr">
        <is>
          <t>Invoice for services in FEB</t>
        </is>
      </c>
      <c r="E164" t="n">
        <v>8</v>
      </c>
    </row>
    <row r="165">
      <c r="B165" s="23" t="n">
        <v>45714</v>
      </c>
      <c r="C165" t="inlineStr">
        <is>
          <t>Q1161</t>
        </is>
      </c>
      <c r="D165" t="inlineStr">
        <is>
          <t>Invoice for services in FEB</t>
        </is>
      </c>
      <c r="E165" t="n">
        <v>3.65</v>
      </c>
    </row>
    <row r="166">
      <c r="B166" s="23" t="n">
        <v>45715</v>
      </c>
      <c r="C166" t="inlineStr">
        <is>
          <t>Q1162</t>
        </is>
      </c>
      <c r="D166" t="inlineStr">
        <is>
          <t>Invoice for services in FEB</t>
        </is>
      </c>
      <c r="E166" t="n">
        <v>3.5</v>
      </c>
    </row>
    <row r="167">
      <c r="B167" s="23" t="n">
        <v>45715</v>
      </c>
      <c r="C167" t="inlineStr">
        <is>
          <t>Q1163</t>
        </is>
      </c>
      <c r="D167" t="inlineStr">
        <is>
          <t>Invoice for services in FEB</t>
        </is>
      </c>
      <c r="E167" t="n">
        <v>3.75</v>
      </c>
    </row>
    <row r="168">
      <c r="B168" s="23" t="n">
        <v>45715</v>
      </c>
      <c r="C168" t="inlineStr">
        <is>
          <t>Q1164</t>
        </is>
      </c>
      <c r="D168" t="inlineStr">
        <is>
          <t>Invoice for services in FEB</t>
        </is>
      </c>
      <c r="E168" t="n">
        <v>1.9</v>
      </c>
    </row>
    <row r="169">
      <c r="B169" s="23" t="n">
        <v>45715</v>
      </c>
      <c r="C169" t="inlineStr">
        <is>
          <t>Q1165</t>
        </is>
      </c>
      <c r="D169" t="inlineStr">
        <is>
          <t>Invoice for services in FEB</t>
        </is>
      </c>
      <c r="E169" t="n">
        <v>3</v>
      </c>
    </row>
    <row r="170">
      <c r="B170" s="23" t="n">
        <v>45716</v>
      </c>
      <c r="C170" t="inlineStr">
        <is>
          <t>Q1166</t>
        </is>
      </c>
      <c r="D170" t="inlineStr">
        <is>
          <t>Invoice for services in FEB</t>
        </is>
      </c>
      <c r="E170" t="n">
        <v>3.5</v>
      </c>
    </row>
    <row r="171">
      <c r="B171" s="23" t="n">
        <v>45716</v>
      </c>
      <c r="C171" t="inlineStr">
        <is>
          <t>Q1167</t>
        </is>
      </c>
      <c r="D171" t="inlineStr">
        <is>
          <t>Invoice for services in FEB</t>
        </is>
      </c>
      <c r="E171" t="n">
        <v>9.9</v>
      </c>
    </row>
    <row r="172">
      <c r="B172" s="23" t="n">
        <v>45716</v>
      </c>
      <c r="C172" t="inlineStr">
        <is>
          <t>Q1168</t>
        </is>
      </c>
      <c r="D172" t="inlineStr">
        <is>
          <t>Invoice for services in FEB</t>
        </is>
      </c>
      <c r="E172" t="n">
        <v>35</v>
      </c>
    </row>
    <row r="173">
      <c r="B173" s="23" t="n">
        <v>45717</v>
      </c>
      <c r="C173" t="inlineStr">
        <is>
          <t>Q1169</t>
        </is>
      </c>
      <c r="D173" t="inlineStr">
        <is>
          <t>Invoice for services in MAR</t>
        </is>
      </c>
      <c r="E173" t="n">
        <v>4.47</v>
      </c>
    </row>
    <row r="174">
      <c r="B174" s="23" t="n">
        <v>45717</v>
      </c>
      <c r="C174" t="inlineStr">
        <is>
          <t>Q1170</t>
        </is>
      </c>
      <c r="D174" t="inlineStr">
        <is>
          <t>Invoice for services in MAR</t>
        </is>
      </c>
      <c r="E174" t="n">
        <v>6.25</v>
      </c>
    </row>
    <row r="175">
      <c r="B175" s="23" t="n">
        <v>45717</v>
      </c>
      <c r="C175" t="inlineStr">
        <is>
          <t>Q1171</t>
        </is>
      </c>
      <c r="D175" t="inlineStr">
        <is>
          <t>Invoice for services in MAR</t>
        </is>
      </c>
      <c r="E175" t="n">
        <v>3.5</v>
      </c>
    </row>
    <row r="176">
      <c r="B176" s="23" t="n">
        <v>45717</v>
      </c>
      <c r="C176" t="inlineStr">
        <is>
          <t>Q1172</t>
        </is>
      </c>
      <c r="D176" t="inlineStr">
        <is>
          <t>Invoice for services in MAR</t>
        </is>
      </c>
      <c r="E176" t="n">
        <v>745</v>
      </c>
    </row>
    <row r="177">
      <c r="B177" s="23" t="n">
        <v>45718</v>
      </c>
      <c r="C177" t="inlineStr">
        <is>
          <t>Q1173</t>
        </is>
      </c>
      <c r="D177" t="inlineStr">
        <is>
          <t>Invoice for services in MAR</t>
        </is>
      </c>
      <c r="E177" t="n">
        <v>6</v>
      </c>
    </row>
    <row r="178">
      <c r="B178" s="23" t="n">
        <v>45718</v>
      </c>
      <c r="C178" t="inlineStr">
        <is>
          <t>Q1174</t>
        </is>
      </c>
      <c r="D178" t="inlineStr">
        <is>
          <t>Invoice for services in MAR</t>
        </is>
      </c>
      <c r="E178" t="n">
        <v>3.5</v>
      </c>
    </row>
    <row r="179">
      <c r="B179" s="23" t="n">
        <v>45718</v>
      </c>
      <c r="C179" t="inlineStr">
        <is>
          <t>Q1175</t>
        </is>
      </c>
      <c r="D179" t="inlineStr">
        <is>
          <t>Invoice for services in MAR</t>
        </is>
      </c>
      <c r="E179" t="n">
        <v>1.9</v>
      </c>
    </row>
    <row r="180">
      <c r="B180" s="23" t="n">
        <v>45718</v>
      </c>
      <c r="C180" t="inlineStr">
        <is>
          <t>Q1176</t>
        </is>
      </c>
      <c r="D180" t="inlineStr">
        <is>
          <t>Invoice for services in MAR</t>
        </is>
      </c>
      <c r="E180" t="n">
        <v>5</v>
      </c>
    </row>
    <row r="181">
      <c r="B181" s="23" t="n">
        <v>45718</v>
      </c>
      <c r="C181" t="inlineStr">
        <is>
          <t>Q1177</t>
        </is>
      </c>
      <c r="D181" t="inlineStr">
        <is>
          <t>Invoice for services in MAR</t>
        </is>
      </c>
      <c r="E181" t="n">
        <v>4.9</v>
      </c>
    </row>
    <row r="182">
      <c r="B182" s="23" t="n">
        <v>45719</v>
      </c>
      <c r="C182" t="inlineStr">
        <is>
          <t>Q1178</t>
        </is>
      </c>
      <c r="D182" t="inlineStr">
        <is>
          <t>Invoice for services in MAR</t>
        </is>
      </c>
      <c r="E182" t="n">
        <v>3.5</v>
      </c>
    </row>
    <row r="183">
      <c r="B183" s="23" t="n">
        <v>45719</v>
      </c>
      <c r="C183" t="inlineStr">
        <is>
          <t>Q1179</t>
        </is>
      </c>
      <c r="D183" t="inlineStr">
        <is>
          <t>Invoice for services in MAR</t>
        </is>
      </c>
      <c r="E183" t="n">
        <v>32.99</v>
      </c>
    </row>
    <row r="184">
      <c r="B184" s="23" t="n">
        <v>45720</v>
      </c>
      <c r="C184" t="inlineStr">
        <is>
          <t>Q1180</t>
        </is>
      </c>
      <c r="D184" t="inlineStr">
        <is>
          <t>Invoice for services in MAR</t>
        </is>
      </c>
      <c r="E184" t="n">
        <v>2.99</v>
      </c>
    </row>
    <row r="185">
      <c r="B185" s="23" t="n">
        <v>45720</v>
      </c>
      <c r="C185" t="inlineStr">
        <is>
          <t>Q1181</t>
        </is>
      </c>
      <c r="D185" t="inlineStr">
        <is>
          <t>Invoice for services in MAR</t>
        </is>
      </c>
      <c r="E185" t="n">
        <v>3.5</v>
      </c>
    </row>
    <row r="186">
      <c r="B186" s="23" t="n">
        <v>45720</v>
      </c>
      <c r="C186" t="inlineStr">
        <is>
          <t>Q1182</t>
        </is>
      </c>
      <c r="D186" t="inlineStr">
        <is>
          <t>Invoice for services in MAR</t>
        </is>
      </c>
      <c r="E186" t="n">
        <v>23.3</v>
      </c>
    </row>
    <row r="187">
      <c r="B187" s="23" t="n">
        <v>45721</v>
      </c>
      <c r="C187" t="inlineStr">
        <is>
          <t>Q1183</t>
        </is>
      </c>
      <c r="D187" t="inlineStr">
        <is>
          <t>Invoice for services in MAR</t>
        </is>
      </c>
      <c r="E187" t="n">
        <v>2.15</v>
      </c>
    </row>
    <row r="188">
      <c r="B188" s="23" t="n">
        <v>45721</v>
      </c>
      <c r="C188" t="inlineStr">
        <is>
          <t>Q1184</t>
        </is>
      </c>
      <c r="D188" t="inlineStr">
        <is>
          <t>Invoice for services in MAR</t>
        </is>
      </c>
      <c r="E188" t="n">
        <v>8.550000000000001</v>
      </c>
    </row>
    <row r="189">
      <c r="B189" s="23" t="n">
        <v>45722</v>
      </c>
      <c r="C189" t="inlineStr">
        <is>
          <t>Q1185</t>
        </is>
      </c>
      <c r="D189" t="inlineStr">
        <is>
          <t>Invoice for services in MAR</t>
        </is>
      </c>
      <c r="E189" t="n">
        <v>5</v>
      </c>
    </row>
    <row r="190">
      <c r="B190" s="23" t="n">
        <v>45722</v>
      </c>
      <c r="C190" t="inlineStr">
        <is>
          <t>Q1186</t>
        </is>
      </c>
      <c r="D190" t="inlineStr">
        <is>
          <t>Invoice for services in MAR</t>
        </is>
      </c>
      <c r="E190" t="n">
        <v>2.75</v>
      </c>
    </row>
    <row r="191">
      <c r="B191" s="23" t="n">
        <v>45722</v>
      </c>
      <c r="C191" t="inlineStr">
        <is>
          <t>Q1187</t>
        </is>
      </c>
      <c r="D191" t="inlineStr">
        <is>
          <t>Invoice for services in MAR</t>
        </is>
      </c>
      <c r="E191" t="n">
        <v>3.5</v>
      </c>
    </row>
    <row r="192">
      <c r="B192" s="23" t="n">
        <v>45723</v>
      </c>
      <c r="C192" t="inlineStr">
        <is>
          <t>Q1188</t>
        </is>
      </c>
      <c r="D192" t="inlineStr">
        <is>
          <t>Invoice for services in MAR</t>
        </is>
      </c>
      <c r="E192" t="n">
        <v>3.5</v>
      </c>
    </row>
    <row r="193">
      <c r="B193" s="23" t="n">
        <v>45723</v>
      </c>
      <c r="C193" t="inlineStr">
        <is>
          <t>Q1189</t>
        </is>
      </c>
      <c r="D193" t="inlineStr">
        <is>
          <t>Invoice for services in MAR</t>
        </is>
      </c>
      <c r="E193" t="n">
        <v>2.15</v>
      </c>
    </row>
    <row r="194">
      <c r="B194" s="23" t="n">
        <v>45724</v>
      </c>
      <c r="C194" t="inlineStr">
        <is>
          <t>Q1190</t>
        </is>
      </c>
      <c r="D194" t="inlineStr">
        <is>
          <t>Invoice for services in MAR</t>
        </is>
      </c>
      <c r="E194" t="n">
        <v>3.5</v>
      </c>
    </row>
    <row r="195">
      <c r="B195" s="23" t="n">
        <v>45724</v>
      </c>
      <c r="C195" t="inlineStr">
        <is>
          <t>Q1191</t>
        </is>
      </c>
      <c r="D195" t="inlineStr">
        <is>
          <t>Invoice for services in MAR</t>
        </is>
      </c>
      <c r="E195" t="n">
        <v>6.25</v>
      </c>
    </row>
    <row r="196">
      <c r="B196" s="23" t="n">
        <v>45724</v>
      </c>
      <c r="C196" t="inlineStr">
        <is>
          <t>Q1192</t>
        </is>
      </c>
      <c r="D196" t="inlineStr">
        <is>
          <t>Invoice for services in MAR</t>
        </is>
      </c>
      <c r="E196" t="n">
        <v>7.5</v>
      </c>
    </row>
    <row r="197">
      <c r="B197" s="23" t="n">
        <v>45724</v>
      </c>
      <c r="C197" t="inlineStr">
        <is>
          <t>Q1193</t>
        </is>
      </c>
      <c r="D197" t="inlineStr">
        <is>
          <t>Invoice for services in MAR</t>
        </is>
      </c>
      <c r="E197" t="n">
        <v>4.29</v>
      </c>
    </row>
    <row r="198">
      <c r="B198" s="23" t="n">
        <v>45724</v>
      </c>
      <c r="C198" t="inlineStr">
        <is>
          <t>Q1194</t>
        </is>
      </c>
      <c r="D198" t="inlineStr">
        <is>
          <t>Invoice for services in MAR</t>
        </is>
      </c>
      <c r="E198" t="n">
        <v>1</v>
      </c>
    </row>
    <row r="199">
      <c r="B199" s="23" t="n">
        <v>45725</v>
      </c>
      <c r="C199" t="inlineStr">
        <is>
          <t>Q1195</t>
        </is>
      </c>
      <c r="D199" t="inlineStr">
        <is>
          <t>Invoice for services in MAR</t>
        </is>
      </c>
      <c r="E199" t="n">
        <v>3.5</v>
      </c>
    </row>
    <row r="200">
      <c r="B200" s="23" t="n">
        <v>45725</v>
      </c>
      <c r="C200" t="inlineStr">
        <is>
          <t>Q1196</t>
        </is>
      </c>
      <c r="D200" t="inlineStr">
        <is>
          <t>Invoice for services in MAR</t>
        </is>
      </c>
      <c r="E200" t="n">
        <v>6</v>
      </c>
    </row>
    <row r="201">
      <c r="B201" s="23" t="n">
        <v>45725</v>
      </c>
      <c r="C201" t="inlineStr">
        <is>
          <t>Q1197</t>
        </is>
      </c>
      <c r="D201" t="inlineStr">
        <is>
          <t>Invoice for services in MAR</t>
        </is>
      </c>
      <c r="E201" t="n">
        <v>8.050000000000001</v>
      </c>
    </row>
    <row r="202">
      <c r="B202" s="23" t="n">
        <v>45726</v>
      </c>
      <c r="C202" t="inlineStr">
        <is>
          <t>Q1198</t>
        </is>
      </c>
      <c r="D202" t="inlineStr">
        <is>
          <t>Invoice for services in MAR</t>
        </is>
      </c>
      <c r="E202" t="n">
        <v>3.5</v>
      </c>
    </row>
    <row r="203">
      <c r="B203" s="23" t="n">
        <v>45728</v>
      </c>
      <c r="C203" t="inlineStr">
        <is>
          <t>Q1199</t>
        </is>
      </c>
      <c r="D203" t="inlineStr">
        <is>
          <t>Invoice for services in MAR</t>
        </is>
      </c>
      <c r="E203" t="n">
        <v>3.09</v>
      </c>
    </row>
    <row r="204">
      <c r="B204" s="23" t="n">
        <v>45728</v>
      </c>
      <c r="C204" t="inlineStr">
        <is>
          <t>Q1200</t>
        </is>
      </c>
      <c r="D204" t="inlineStr">
        <is>
          <t>Invoice for services in MAR</t>
        </is>
      </c>
      <c r="E204" t="n">
        <v>8.16</v>
      </c>
    </row>
    <row r="205">
      <c r="B205" s="23" t="n">
        <v>45729</v>
      </c>
      <c r="C205" t="inlineStr">
        <is>
          <t>Q1201</t>
        </is>
      </c>
      <c r="D205" t="inlineStr">
        <is>
          <t>Invoice for services in MAR</t>
        </is>
      </c>
      <c r="E205" t="n">
        <v>3.5</v>
      </c>
    </row>
    <row r="206">
      <c r="B206" s="23" t="n">
        <v>45729</v>
      </c>
      <c r="C206" t="inlineStr">
        <is>
          <t>Q1202</t>
        </is>
      </c>
      <c r="D206" t="inlineStr">
        <is>
          <t>Invoice for services in MAR</t>
        </is>
      </c>
      <c r="E206" t="n">
        <v>7</v>
      </c>
    </row>
    <row r="207">
      <c r="B207" s="23" t="n">
        <v>45729</v>
      </c>
      <c r="C207" t="inlineStr">
        <is>
          <t>Q1203</t>
        </is>
      </c>
      <c r="D207" t="inlineStr">
        <is>
          <t>Invoice for services in MAR</t>
        </is>
      </c>
      <c r="E207" t="n">
        <v>4.33</v>
      </c>
    </row>
    <row r="208">
      <c r="B208" s="23" t="n">
        <v>45729</v>
      </c>
      <c r="C208" t="inlineStr">
        <is>
          <t>Q1204</t>
        </is>
      </c>
      <c r="D208" t="inlineStr">
        <is>
          <t>Invoice for services in MAR</t>
        </is>
      </c>
      <c r="E208" t="n">
        <v>5.5</v>
      </c>
    </row>
    <row r="209">
      <c r="B209" s="23" t="n">
        <v>45730</v>
      </c>
      <c r="C209" t="inlineStr">
        <is>
          <t>Q1205</t>
        </is>
      </c>
      <c r="D209" t="inlineStr">
        <is>
          <t>Invoice for services in MAR</t>
        </is>
      </c>
      <c r="E209" t="n">
        <v>5.05</v>
      </c>
    </row>
    <row r="210">
      <c r="B210" s="23" t="n">
        <v>45730</v>
      </c>
      <c r="C210" t="inlineStr">
        <is>
          <t>Q1206</t>
        </is>
      </c>
      <c r="D210" t="inlineStr">
        <is>
          <t>Invoice for services in MAR</t>
        </is>
      </c>
      <c r="E210" t="n">
        <v>3.5</v>
      </c>
    </row>
    <row r="211">
      <c r="B211" s="23" t="n">
        <v>45730</v>
      </c>
      <c r="C211" t="inlineStr">
        <is>
          <t>Q1207</t>
        </is>
      </c>
      <c r="D211" t="inlineStr">
        <is>
          <t>Invoice for services in MAR</t>
        </is>
      </c>
      <c r="E211" t="n">
        <v>6.87</v>
      </c>
    </row>
    <row r="212">
      <c r="B212" s="23" t="n">
        <v>45731</v>
      </c>
      <c r="C212" t="inlineStr">
        <is>
          <t>Q1208</t>
        </is>
      </c>
      <c r="D212" t="inlineStr">
        <is>
          <t>Invoice for services in MAR</t>
        </is>
      </c>
      <c r="E212" t="n">
        <v>3.5</v>
      </c>
    </row>
    <row r="213">
      <c r="B213" s="23" t="n">
        <v>45731</v>
      </c>
      <c r="C213" t="inlineStr">
        <is>
          <t>Q1209</t>
        </is>
      </c>
      <c r="D213" t="inlineStr">
        <is>
          <t>Invoice for services in MAR</t>
        </is>
      </c>
      <c r="E213" t="n">
        <v>5</v>
      </c>
    </row>
    <row r="214">
      <c r="B214" s="23" t="n">
        <v>45732</v>
      </c>
      <c r="C214" t="inlineStr">
        <is>
          <t>Q1210</t>
        </is>
      </c>
      <c r="D214" t="inlineStr">
        <is>
          <t>Invoice for services in MAR</t>
        </is>
      </c>
      <c r="E214" t="n">
        <v>4000</v>
      </c>
    </row>
    <row r="215">
      <c r="B215" s="23" t="n">
        <v>45732</v>
      </c>
      <c r="C215" t="inlineStr">
        <is>
          <t>Q1211</t>
        </is>
      </c>
      <c r="D215" t="inlineStr">
        <is>
          <t>Invoice for services in MAR</t>
        </is>
      </c>
      <c r="E215" t="n">
        <v>3.5</v>
      </c>
    </row>
    <row r="216">
      <c r="B216" s="23" t="n">
        <v>45732</v>
      </c>
      <c r="C216" t="inlineStr">
        <is>
          <t>Q1212</t>
        </is>
      </c>
      <c r="D216" t="inlineStr">
        <is>
          <t>Invoice for services in MAR</t>
        </is>
      </c>
      <c r="E216" t="n">
        <v>3.34</v>
      </c>
    </row>
    <row r="217">
      <c r="B217" s="23" t="n">
        <v>45732</v>
      </c>
      <c r="C217" t="inlineStr">
        <is>
          <t>Q1213</t>
        </is>
      </c>
      <c r="D217" t="inlineStr">
        <is>
          <t>Invoice for services in MAR</t>
        </is>
      </c>
      <c r="E217" t="n">
        <v>4.05</v>
      </c>
    </row>
    <row r="218">
      <c r="B218" s="23" t="n">
        <v>45733</v>
      </c>
      <c r="C218" t="inlineStr">
        <is>
          <t>Q1214</t>
        </is>
      </c>
      <c r="D218" t="inlineStr">
        <is>
          <t>Invoice for services in MAR</t>
        </is>
      </c>
      <c r="E218" t="n">
        <v>13.5</v>
      </c>
    </row>
    <row r="219">
      <c r="B219" s="23" t="n">
        <v>45733</v>
      </c>
      <c r="C219" t="inlineStr">
        <is>
          <t>Q1215</t>
        </is>
      </c>
      <c r="D219" t="inlineStr">
        <is>
          <t>Invoice for services in MAR</t>
        </is>
      </c>
      <c r="E219" t="n">
        <v>0.6899999999999999</v>
      </c>
    </row>
    <row r="220">
      <c r="B220" s="23" t="n">
        <v>45733</v>
      </c>
      <c r="C220" t="inlineStr">
        <is>
          <t>Q1216</t>
        </is>
      </c>
      <c r="D220" t="inlineStr">
        <is>
          <t>Invoice for services in MAR</t>
        </is>
      </c>
      <c r="E220" t="n">
        <v>3.5</v>
      </c>
    </row>
    <row r="221">
      <c r="B221" s="23" t="n">
        <v>45734</v>
      </c>
      <c r="C221" t="inlineStr">
        <is>
          <t>Q1217</t>
        </is>
      </c>
      <c r="D221" t="inlineStr">
        <is>
          <t>Invoice for services in MAR</t>
        </is>
      </c>
      <c r="E221" t="n">
        <v>3.5</v>
      </c>
    </row>
    <row r="222">
      <c r="B222" s="23" t="n">
        <v>45735</v>
      </c>
      <c r="C222" t="inlineStr">
        <is>
          <t>Q1218</t>
        </is>
      </c>
      <c r="D222" t="inlineStr">
        <is>
          <t>Invoice for services in MAR</t>
        </is>
      </c>
      <c r="E222" t="n">
        <v>156.47</v>
      </c>
    </row>
    <row r="223">
      <c r="B223" s="23" t="n">
        <v>45735</v>
      </c>
      <c r="C223" t="inlineStr">
        <is>
          <t>Q1219</t>
        </is>
      </c>
      <c r="D223" t="inlineStr">
        <is>
          <t>Invoice for services in MAR</t>
        </is>
      </c>
      <c r="E223" t="n">
        <v>3.8</v>
      </c>
    </row>
    <row r="224">
      <c r="B224" s="23" t="n">
        <v>45736</v>
      </c>
      <c r="C224" t="inlineStr">
        <is>
          <t>Q1220</t>
        </is>
      </c>
      <c r="D224" t="inlineStr">
        <is>
          <t>Invoice for services in MAR</t>
        </is>
      </c>
      <c r="E224" t="n">
        <v>3.5</v>
      </c>
    </row>
    <row r="225">
      <c r="B225" s="23" t="n">
        <v>45736</v>
      </c>
      <c r="C225" t="inlineStr">
        <is>
          <t>Q1221</t>
        </is>
      </c>
      <c r="D225" t="inlineStr">
        <is>
          <t>Invoice for services in MAR</t>
        </is>
      </c>
      <c r="E225" t="n">
        <v>6.4</v>
      </c>
    </row>
    <row r="226">
      <c r="B226" s="23" t="n">
        <v>45736</v>
      </c>
      <c r="C226" t="inlineStr">
        <is>
          <t>Q1222</t>
        </is>
      </c>
      <c r="D226" t="inlineStr">
        <is>
          <t>Invoice for services in MAR</t>
        </is>
      </c>
      <c r="E226" t="n">
        <v>7.7</v>
      </c>
    </row>
    <row r="227">
      <c r="B227" s="23" t="n">
        <v>45736</v>
      </c>
      <c r="C227" t="inlineStr">
        <is>
          <t>Q1223</t>
        </is>
      </c>
      <c r="D227" t="inlineStr">
        <is>
          <t>Invoice for services in MAR</t>
        </is>
      </c>
      <c r="E227" t="n">
        <v>7.75</v>
      </c>
    </row>
    <row r="228">
      <c r="B228" s="23" t="n">
        <v>45737</v>
      </c>
      <c r="C228" t="inlineStr">
        <is>
          <t>Q1224</t>
        </is>
      </c>
      <c r="D228" t="inlineStr">
        <is>
          <t>Invoice for services in MAR</t>
        </is>
      </c>
      <c r="E228" t="n">
        <v>3.5</v>
      </c>
    </row>
    <row r="229">
      <c r="B229" s="23" t="n">
        <v>45737</v>
      </c>
      <c r="C229" t="inlineStr">
        <is>
          <t>Q1225</t>
        </is>
      </c>
      <c r="D229" t="inlineStr">
        <is>
          <t>Invoice for services in MAR</t>
        </is>
      </c>
      <c r="E229" t="n">
        <v>3.75</v>
      </c>
    </row>
    <row r="230">
      <c r="B230" s="23" t="n">
        <v>45737</v>
      </c>
      <c r="C230" t="inlineStr">
        <is>
          <t>Q1226</t>
        </is>
      </c>
      <c r="D230" t="inlineStr">
        <is>
          <t>Invoice for services in MAR</t>
        </is>
      </c>
      <c r="E230" t="n">
        <v>7.6</v>
      </c>
    </row>
    <row r="231">
      <c r="B231" s="23" t="n">
        <v>45738</v>
      </c>
      <c r="C231" t="inlineStr">
        <is>
          <t>Q1227</t>
        </is>
      </c>
      <c r="D231" t="inlineStr">
        <is>
          <t>Invoice for services in MAR</t>
        </is>
      </c>
      <c r="E231" t="n">
        <v>3.5</v>
      </c>
    </row>
    <row r="232">
      <c r="B232" s="23" t="n">
        <v>45738</v>
      </c>
      <c r="C232" t="inlineStr">
        <is>
          <t>Q1228</t>
        </is>
      </c>
      <c r="D232" t="inlineStr">
        <is>
          <t>Invoice for services in MAR</t>
        </is>
      </c>
      <c r="E232" t="n">
        <v>5.69</v>
      </c>
    </row>
    <row r="233">
      <c r="B233" s="23" t="n">
        <v>45738</v>
      </c>
      <c r="C233" t="inlineStr">
        <is>
          <t>Q1229</t>
        </is>
      </c>
      <c r="D233" t="inlineStr">
        <is>
          <t>Invoice for services in MAR</t>
        </is>
      </c>
      <c r="E233" t="n">
        <v>1.5</v>
      </c>
    </row>
    <row r="234">
      <c r="B234" s="23" t="n">
        <v>45739</v>
      </c>
      <c r="C234" t="inlineStr">
        <is>
          <t>Q1230</t>
        </is>
      </c>
      <c r="D234" t="inlineStr">
        <is>
          <t>Invoice for services in MAR</t>
        </is>
      </c>
      <c r="E234" t="n">
        <v>1.75</v>
      </c>
    </row>
    <row r="235">
      <c r="B235" s="23" t="n">
        <v>45739</v>
      </c>
      <c r="C235" t="inlineStr">
        <is>
          <t>Q1231</t>
        </is>
      </c>
      <c r="D235" t="inlineStr">
        <is>
          <t>Invoice for services in MAR</t>
        </is>
      </c>
      <c r="E235" t="n">
        <v>3</v>
      </c>
    </row>
    <row r="236">
      <c r="B236" s="23" t="n">
        <v>45739</v>
      </c>
      <c r="C236" t="inlineStr">
        <is>
          <t>Q1232</t>
        </is>
      </c>
      <c r="D236" t="inlineStr">
        <is>
          <t>Invoice for services in MAR</t>
        </is>
      </c>
      <c r="E236" t="n">
        <v>4.84</v>
      </c>
    </row>
    <row r="237">
      <c r="B237" s="23" t="n">
        <v>45740</v>
      </c>
      <c r="C237" t="inlineStr">
        <is>
          <t>Q1233</t>
        </is>
      </c>
      <c r="D237" t="inlineStr">
        <is>
          <t>Invoice for services in MAR</t>
        </is>
      </c>
      <c r="E237" t="n">
        <v>3.5</v>
      </c>
    </row>
    <row r="238">
      <c r="B238" s="23" t="n">
        <v>45740</v>
      </c>
      <c r="C238" t="inlineStr">
        <is>
          <t>Q1234</t>
        </is>
      </c>
      <c r="D238" t="inlineStr">
        <is>
          <t>Invoice for services in MAR</t>
        </is>
      </c>
      <c r="E238" t="n">
        <v>3.75</v>
      </c>
    </row>
    <row r="239">
      <c r="B239" s="23" t="n">
        <v>45740</v>
      </c>
      <c r="C239" t="inlineStr">
        <is>
          <t>Q1235</t>
        </is>
      </c>
      <c r="D239" t="inlineStr">
        <is>
          <t>Invoice for services in MAR</t>
        </is>
      </c>
      <c r="E239" t="n">
        <v>3</v>
      </c>
    </row>
    <row r="240">
      <c r="B240" s="23" t="n">
        <v>45740</v>
      </c>
      <c r="C240" t="inlineStr">
        <is>
          <t>Q1236</t>
        </is>
      </c>
      <c r="D240" t="inlineStr">
        <is>
          <t>Invoice for services in MAR</t>
        </is>
      </c>
      <c r="E240" t="n">
        <v>146.44</v>
      </c>
    </row>
    <row r="241">
      <c r="B241" s="23" t="n">
        <v>45740</v>
      </c>
      <c r="C241" t="inlineStr">
        <is>
          <t>Q1237</t>
        </is>
      </c>
      <c r="D241" t="inlineStr">
        <is>
          <t>Invoice for services in MAR</t>
        </is>
      </c>
      <c r="E241" t="n">
        <v>1.16</v>
      </c>
    </row>
    <row r="242">
      <c r="B242" s="23" t="n">
        <v>45740</v>
      </c>
      <c r="C242" t="inlineStr">
        <is>
          <t>Q1238</t>
        </is>
      </c>
      <c r="D242" t="inlineStr">
        <is>
          <t>Invoice for services in MAR</t>
        </is>
      </c>
      <c r="E242" t="n">
        <v>17.25</v>
      </c>
    </row>
    <row r="243">
      <c r="B243" s="23" t="n">
        <v>45740</v>
      </c>
      <c r="C243" t="inlineStr">
        <is>
          <t>Q1239</t>
        </is>
      </c>
      <c r="D243" t="inlineStr">
        <is>
          <t>Invoice for services in MAR</t>
        </is>
      </c>
      <c r="E243" t="n">
        <v>6.03</v>
      </c>
    </row>
    <row r="244">
      <c r="B244" s="23" t="n">
        <v>45741</v>
      </c>
      <c r="C244" t="inlineStr">
        <is>
          <t>Q1240</t>
        </is>
      </c>
      <c r="D244" t="inlineStr">
        <is>
          <t>Invoice for services in MAR</t>
        </is>
      </c>
      <c r="E244" t="n">
        <v>3.5</v>
      </c>
    </row>
    <row r="245">
      <c r="B245" s="23" t="n">
        <v>45742</v>
      </c>
      <c r="C245" t="inlineStr">
        <is>
          <t>Q1241</t>
        </is>
      </c>
      <c r="D245" t="inlineStr">
        <is>
          <t>Invoice for services in MAR</t>
        </is>
      </c>
      <c r="E245" t="n">
        <v>8.699999999999999</v>
      </c>
    </row>
    <row r="246">
      <c r="B246" s="23" t="n">
        <v>45742</v>
      </c>
      <c r="C246" t="inlineStr">
        <is>
          <t>Q1242</t>
        </is>
      </c>
      <c r="D246" t="inlineStr">
        <is>
          <t>Invoice for services in MAR</t>
        </is>
      </c>
      <c r="E246" t="n">
        <v>33.44</v>
      </c>
    </row>
    <row r="247">
      <c r="B247" s="23" t="n">
        <v>45742</v>
      </c>
      <c r="C247" t="inlineStr">
        <is>
          <t>Q1243</t>
        </is>
      </c>
      <c r="D247" t="inlineStr">
        <is>
          <t>Invoice for services in MAR</t>
        </is>
      </c>
      <c r="E247" t="n">
        <v>18.9</v>
      </c>
    </row>
    <row r="248">
      <c r="B248" s="23" t="n">
        <v>45742</v>
      </c>
      <c r="C248" t="inlineStr">
        <is>
          <t>Q1244</t>
        </is>
      </c>
      <c r="D248" t="inlineStr">
        <is>
          <t>Invoice for services in MAR</t>
        </is>
      </c>
      <c r="E248" t="n">
        <v>1.25</v>
      </c>
    </row>
    <row r="249">
      <c r="B249" s="23" t="n">
        <v>45742</v>
      </c>
      <c r="C249" t="inlineStr">
        <is>
          <t>Q1245</t>
        </is>
      </c>
      <c r="D249" t="inlineStr">
        <is>
          <t>Invoice for services in MAR</t>
        </is>
      </c>
      <c r="E249" t="n">
        <v>4.5</v>
      </c>
    </row>
    <row r="250">
      <c r="B250" s="23" t="n">
        <v>45743</v>
      </c>
      <c r="C250" t="inlineStr">
        <is>
          <t>Q1246</t>
        </is>
      </c>
      <c r="D250" t="inlineStr">
        <is>
          <t>Invoice for services in MAR</t>
        </is>
      </c>
      <c r="E250" t="n">
        <v>3.5</v>
      </c>
    </row>
    <row r="251">
      <c r="B251" s="23" t="n">
        <v>45743</v>
      </c>
      <c r="C251" t="inlineStr">
        <is>
          <t>Q1247</t>
        </is>
      </c>
      <c r="D251" t="inlineStr">
        <is>
          <t>Invoice for services in MAR</t>
        </is>
      </c>
      <c r="E251" t="n">
        <v>9</v>
      </c>
    </row>
    <row r="252">
      <c r="B252" s="23" t="n">
        <v>45743</v>
      </c>
      <c r="C252" t="inlineStr">
        <is>
          <t>Q1248</t>
        </is>
      </c>
      <c r="D252" t="inlineStr">
        <is>
          <t>Invoice for services in MAR</t>
        </is>
      </c>
      <c r="E252" t="n">
        <v>5.27</v>
      </c>
    </row>
    <row r="253">
      <c r="B253" s="23" t="n">
        <v>45744</v>
      </c>
      <c r="C253" t="inlineStr">
        <is>
          <t>Q1249</t>
        </is>
      </c>
      <c r="D253" t="inlineStr">
        <is>
          <t>Invoice for services in MAR</t>
        </is>
      </c>
      <c r="E253" t="n">
        <v>3.5</v>
      </c>
    </row>
    <row r="254">
      <c r="B254" s="23" t="n">
        <v>45745</v>
      </c>
      <c r="C254" t="inlineStr">
        <is>
          <t>Q1250</t>
        </is>
      </c>
      <c r="D254" t="inlineStr">
        <is>
          <t>Invoice for services in MAR</t>
        </is>
      </c>
      <c r="E254" t="n">
        <v>63.97</v>
      </c>
    </row>
    <row r="255">
      <c r="B255" s="23" t="n">
        <v>45745</v>
      </c>
      <c r="C255" t="inlineStr">
        <is>
          <t>Q1251</t>
        </is>
      </c>
      <c r="D255" t="inlineStr">
        <is>
          <t>Invoice for services in MAR</t>
        </is>
      </c>
      <c r="E255" t="n">
        <v>18.58</v>
      </c>
    </row>
    <row r="256">
      <c r="B256" s="23" t="n">
        <v>45745</v>
      </c>
      <c r="C256" t="inlineStr">
        <is>
          <t>Q1252</t>
        </is>
      </c>
      <c r="D256" t="inlineStr">
        <is>
          <t>Invoice for services in MAR</t>
        </is>
      </c>
      <c r="E256" t="n">
        <v>6.56</v>
      </c>
    </row>
    <row r="257">
      <c r="B257" s="23" t="n">
        <v>45745</v>
      </c>
      <c r="C257" t="inlineStr">
        <is>
          <t>Q1253</t>
        </is>
      </c>
      <c r="D257" t="inlineStr">
        <is>
          <t>Invoice for services in MAR</t>
        </is>
      </c>
      <c r="E257" t="n">
        <v>9.210000000000001</v>
      </c>
    </row>
    <row r="258">
      <c r="B258" s="23" t="n">
        <v>45745</v>
      </c>
      <c r="C258" t="inlineStr">
        <is>
          <t>Q1254</t>
        </is>
      </c>
      <c r="D258" t="inlineStr">
        <is>
          <t>Invoice for services in MAR</t>
        </is>
      </c>
      <c r="E258" t="n">
        <v>10.04</v>
      </c>
    </row>
    <row r="259">
      <c r="B259" s="23" t="n">
        <v>45745</v>
      </c>
      <c r="C259" t="inlineStr">
        <is>
          <t>Q1255</t>
        </is>
      </c>
      <c r="D259" t="inlineStr">
        <is>
          <t>Invoice for services in MAR</t>
        </is>
      </c>
      <c r="E259" t="n">
        <v>3.5</v>
      </c>
    </row>
    <row r="260">
      <c r="B260" s="23" t="n">
        <v>45745</v>
      </c>
      <c r="C260" t="inlineStr">
        <is>
          <t>Q1256</t>
        </is>
      </c>
      <c r="D260" t="inlineStr">
        <is>
          <t>Invoice for services in MAR</t>
        </is>
      </c>
      <c r="E260" t="n">
        <v>7.53</v>
      </c>
    </row>
    <row r="261">
      <c r="B261" s="23" t="n">
        <v>45747</v>
      </c>
      <c r="C261" t="inlineStr">
        <is>
          <t>Q1257</t>
        </is>
      </c>
      <c r="D261" t="inlineStr">
        <is>
          <t>Invoice for services in MAR</t>
        </is>
      </c>
      <c r="E261" t="n">
        <v>8.26</v>
      </c>
    </row>
    <row r="262">
      <c r="D262" s="7" t="inlineStr">
        <is>
          <t>Total for Q2</t>
        </is>
      </c>
      <c r="E262" s="6">
        <f>SUM(E5:E261)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9" customWidth="1" style="22" min="1" max="1"/>
    <col width="11.75" customWidth="1" style="22" min="2" max="2"/>
    <col width="7.75" customWidth="1" style="22" min="3" max="3"/>
    <col width="9.380000000000001" customWidth="1" style="22" min="4" max="4"/>
    <col width="12" customWidth="1" style="22" min="5" max="5"/>
    <col width="13.13" customWidth="1" style="22" min="6" max="6"/>
    <col width="11.75" customWidth="1" style="22" min="7" max="7"/>
    <col width="7.75" customWidth="1" style="22" min="8" max="8"/>
    <col width="11.38" customWidth="1" style="22" min="9" max="9"/>
    <col width="7.75" customWidth="1" style="22" min="10" max="10"/>
    <col width="10.88" customWidth="1" style="22" min="11" max="11"/>
    <col width="11.75" customWidth="1" style="22" min="12" max="12"/>
    <col width="7.75" customWidth="1" style="22" min="13" max="26"/>
  </cols>
  <sheetData>
    <row r="1">
      <c r="A1" s="7" t="inlineStr">
        <is>
          <t>BELOW ARE THE ACCOUNTING CATEGORIES OF THE SELF-EMPLOYED FOR MAKING TAX DIGITAL QUARTERLY FILINGS.</t>
        </is>
      </c>
      <c r="E1" s="10" t="n"/>
      <c r="F1" s="11" t="n"/>
    </row>
    <row r="2">
      <c r="A2" s="12" t="inlineStr">
        <is>
          <t>PLEASE NOTE THAT IF YOU ARE ON A SPECIFIC TAX SCHEME, PLEASE COMPLETE THE BOXES IN ACCORDANCE WITH YOUR SCHEME RULES.</t>
        </is>
      </c>
      <c r="E2" s="13" t="n"/>
      <c r="F2" s="11" t="n"/>
    </row>
    <row r="3">
      <c r="A3" s="12" t="inlineStr">
        <is>
          <t>IF YOU ARE UNSURE WHICH FIGURES GO INTO WHICH BOX, OR HOW TO CALCULATE ANY AMOUNTS, PLEASE CONTACT HM REVENUE &amp; CUSTOMS OR ENGAGE AN ACCOUNTANT.</t>
        </is>
      </c>
      <c r="E3" s="13" t="n"/>
      <c r="F3" s="11" t="n"/>
      <c r="K3" s="14" t="n"/>
    </row>
    <row r="4">
      <c r="E4" s="5" t="n"/>
      <c r="F4" s="11" t="n"/>
      <c r="K4" s="14" t="n"/>
    </row>
    <row r="5">
      <c r="D5" s="15" t="inlineStr">
        <is>
          <t>QUARTERLY SELF-EMPLOYMENT FIGURES</t>
        </is>
      </c>
      <c r="E5" s="5" t="n"/>
    </row>
    <row r="6">
      <c r="A6" s="15" t="inlineStr">
        <is>
          <t>HMRC Taxable Profit For Filing:</t>
        </is>
      </c>
      <c r="D6" s="14" t="n"/>
      <c r="E6" s="24">
        <f>G49</f>
        <v/>
      </c>
      <c r="F6" s="25" t="n"/>
      <c r="I6" s="3" t="n"/>
      <c r="K6" s="3" t="n"/>
    </row>
    <row r="7">
      <c r="B7" s="15" t="n"/>
      <c r="D7" s="14" t="n"/>
      <c r="E7" s="5" t="n"/>
      <c r="G7" s="3" t="inlineStr">
        <is>
          <t>£</t>
        </is>
      </c>
      <c r="I7" s="3" t="inlineStr">
        <is>
          <t>£</t>
        </is>
      </c>
      <c r="K7" s="3" t="inlineStr">
        <is>
          <t>£</t>
        </is>
      </c>
    </row>
    <row r="8">
      <c r="E8" s="18" t="n"/>
      <c r="G8" s="18" t="inlineStr">
        <is>
          <t>ALLOWABLE</t>
        </is>
      </c>
      <c r="I8" s="18" t="inlineStr">
        <is>
          <t>DISALLOW</t>
        </is>
      </c>
      <c r="K8" s="18" t="inlineStr">
        <is>
          <t>TOTAL</t>
        </is>
      </c>
    </row>
    <row r="9">
      <c r="A9" s="8" t="inlineStr">
        <is>
          <t>INCOME</t>
        </is>
      </c>
      <c r="E9" s="18" t="n"/>
      <c r="G9" s="18" t="n"/>
      <c r="I9" s="18" t="n"/>
      <c r="K9" s="18" t="n"/>
    </row>
    <row r="10">
      <c r="A10" s="12" t="inlineStr">
        <is>
          <t>Sales</t>
        </is>
      </c>
      <c r="B10" s="3" t="n"/>
      <c r="C10" s="3" t="n"/>
      <c r="D10" s="3" t="n"/>
      <c r="E10" s="18" t="n"/>
      <c r="F10" s="18" t="n"/>
      <c r="G10" s="19">
        <f>Sales!E26</f>
        <v/>
      </c>
      <c r="K10" s="5">
        <f>G10</f>
        <v/>
      </c>
    </row>
    <row r="11" ht="8.25" customHeight="1" s="22">
      <c r="A11" s="12" t="n"/>
      <c r="B11" s="3" t="n"/>
      <c r="C11" s="3" t="n"/>
      <c r="D11" s="3" t="n"/>
      <c r="E11" s="18" t="n"/>
      <c r="F11" s="18" t="n"/>
      <c r="K11" s="5" t="n"/>
    </row>
    <row r="12">
      <c r="A12" s="7" t="inlineStr">
        <is>
          <t>Other Business Income</t>
        </is>
      </c>
      <c r="G12" s="19" t="n">
        <v>0</v>
      </c>
      <c r="K12" s="5">
        <f>G12</f>
        <v/>
      </c>
    </row>
    <row r="13" ht="15" customHeight="1" s="22">
      <c r="G13" s="5" t="n"/>
    </row>
    <row r="14">
      <c r="A14" s="8" t="inlineStr">
        <is>
          <t>Total Income</t>
        </is>
      </c>
      <c r="G14" s="11">
        <f>SUM(G10:G12)</f>
        <v/>
      </c>
      <c r="L14" s="20">
        <f>SUM(K10:K12)</f>
        <v/>
      </c>
    </row>
    <row r="15"/>
    <row r="16">
      <c r="A16" s="8" t="inlineStr">
        <is>
          <t>EXPENSES</t>
        </is>
      </c>
    </row>
    <row r="17">
      <c r="A17" s="7" t="inlineStr">
        <is>
          <t>Cost of Goods (PUT ALL EXPENSES HERE IF USING CONSOLIDATED EXPENSES)</t>
        </is>
      </c>
      <c r="G17" s="19">
        <f>Purchases!E262</f>
        <v/>
      </c>
      <c r="I17" s="19" t="n">
        <v>0</v>
      </c>
      <c r="K17" s="5">
        <f>G17+I17</f>
        <v/>
      </c>
    </row>
    <row r="18" ht="9" customHeight="1" s="22">
      <c r="K18" s="5" t="n"/>
    </row>
    <row r="19">
      <c r="A19" s="7" t="inlineStr">
        <is>
          <t>CIS Subcontractors</t>
        </is>
      </c>
      <c r="G19" s="19" t="n">
        <v>0</v>
      </c>
      <c r="I19" s="19" t="n">
        <v>0</v>
      </c>
      <c r="K19" s="5">
        <f>G19+I19</f>
        <v/>
      </c>
    </row>
    <row r="20" ht="8.25" customHeight="1" s="22">
      <c r="K20" s="5" t="n"/>
    </row>
    <row r="21">
      <c r="A21" s="7" t="inlineStr">
        <is>
          <t>Staff Costs</t>
        </is>
      </c>
      <c r="G21" s="19" t="n">
        <v>0</v>
      </c>
      <c r="I21" s="19" t="n">
        <v>0</v>
      </c>
      <c r="K21" s="5">
        <f>G21+I21</f>
        <v/>
      </c>
    </row>
    <row r="22" ht="9" customHeight="1" s="22">
      <c r="K22" s="5" t="n"/>
    </row>
    <row r="23">
      <c r="A23" s="7" t="inlineStr">
        <is>
          <t>Travel Costs</t>
        </is>
      </c>
      <c r="G23" s="19" t="n">
        <v>0</v>
      </c>
      <c r="I23" s="19" t="n">
        <v>0</v>
      </c>
      <c r="K23" s="5">
        <f>G23+I23</f>
        <v/>
      </c>
    </row>
    <row r="24" ht="9" customHeight="1" s="22">
      <c r="K24" s="5" t="n"/>
    </row>
    <row r="25">
      <c r="A25" s="7" t="inlineStr">
        <is>
          <t>Premises Costs</t>
        </is>
      </c>
      <c r="G25" s="19" t="n">
        <v>0</v>
      </c>
      <c r="I25" s="19" t="n">
        <v>0</v>
      </c>
      <c r="K25" s="5">
        <f>G25+I25</f>
        <v/>
      </c>
    </row>
    <row r="26" ht="8.25" customHeight="1" s="22">
      <c r="K26" s="5" t="n"/>
    </row>
    <row r="27">
      <c r="A27" s="7" t="inlineStr">
        <is>
          <t>Maintenance Costs</t>
        </is>
      </c>
      <c r="G27" s="19" t="n">
        <v>0</v>
      </c>
      <c r="I27" s="19" t="n">
        <v>0</v>
      </c>
      <c r="K27" s="5">
        <f>G27+I27</f>
        <v/>
      </c>
    </row>
    <row r="28" ht="7.5" customHeight="1" s="22">
      <c r="K28" s="5" t="n"/>
    </row>
    <row r="29">
      <c r="A29" s="7" t="inlineStr">
        <is>
          <t>Admin Costs</t>
        </is>
      </c>
      <c r="G29" s="19" t="n">
        <v>0</v>
      </c>
      <c r="I29" s="19" t="n">
        <v>0</v>
      </c>
      <c r="K29" s="5">
        <f>G29+I29</f>
        <v/>
      </c>
    </row>
    <row r="30" ht="8.25" customHeight="1" s="22">
      <c r="K30" s="5" t="n"/>
    </row>
    <row r="31">
      <c r="A31" s="7" t="inlineStr">
        <is>
          <t>Advertising Costs</t>
        </is>
      </c>
      <c r="G31" s="19" t="n">
        <v>0</v>
      </c>
      <c r="I31" s="19" t="n">
        <v>0</v>
      </c>
      <c r="K31" s="5">
        <f>G31+I31</f>
        <v/>
      </c>
    </row>
    <row r="32" ht="8.25" customHeight="1" s="22">
      <c r="K32" s="5" t="n"/>
    </row>
    <row r="33">
      <c r="A33" s="7" t="inlineStr">
        <is>
          <t>Entertainment Costs</t>
        </is>
      </c>
      <c r="G33" s="19" t="n">
        <v>0</v>
      </c>
      <c r="I33" s="19" t="n">
        <v>0</v>
      </c>
      <c r="K33" s="5">
        <f>G33+I33</f>
        <v/>
      </c>
    </row>
    <row r="34" ht="9" customHeight="1" s="22">
      <c r="K34" s="5" t="n"/>
    </row>
    <row r="35">
      <c r="A35" s="7" t="inlineStr">
        <is>
          <t>Interest Payments</t>
        </is>
      </c>
      <c r="G35" s="19" t="n">
        <v>0</v>
      </c>
      <c r="I35" s="19" t="n">
        <v>0</v>
      </c>
      <c r="K35" s="5">
        <f>G35+I35</f>
        <v/>
      </c>
    </row>
    <row r="36" ht="9" customHeight="1" s="22">
      <c r="K36" s="5" t="n"/>
    </row>
    <row r="37">
      <c r="A37" s="7" t="inlineStr">
        <is>
          <t>Finance Charges</t>
        </is>
      </c>
      <c r="G37" s="19" t="n">
        <v>0</v>
      </c>
      <c r="I37" s="19" t="n">
        <v>0</v>
      </c>
      <c r="K37" s="5">
        <f>G37+I37</f>
        <v/>
      </c>
    </row>
    <row r="38" ht="9" customHeight="1" s="22">
      <c r="K38" s="5" t="n"/>
    </row>
    <row r="39">
      <c r="A39" s="7" t="inlineStr">
        <is>
          <t>Bad Debts</t>
        </is>
      </c>
      <c r="G39" s="19" t="n">
        <v>0</v>
      </c>
      <c r="I39" s="19" t="n">
        <v>0</v>
      </c>
      <c r="K39" s="5">
        <f>G39+I39</f>
        <v/>
      </c>
    </row>
    <row r="40" ht="8.25" customHeight="1" s="22">
      <c r="K40" s="5" t="n"/>
    </row>
    <row r="41">
      <c r="A41" s="7" t="inlineStr">
        <is>
          <t>Professional Fees</t>
        </is>
      </c>
      <c r="G41" s="19" t="n">
        <v>0</v>
      </c>
      <c r="I41" s="19" t="n">
        <v>0</v>
      </c>
      <c r="K41" s="5">
        <f>G41+I41</f>
        <v/>
      </c>
    </row>
    <row r="42" ht="8.25" customHeight="1" s="22">
      <c r="K42" s="5" t="n"/>
    </row>
    <row r="43">
      <c r="A43" s="7" t="inlineStr">
        <is>
          <t>Depreciation</t>
        </is>
      </c>
      <c r="G43" s="19" t="n">
        <v>0</v>
      </c>
      <c r="I43" s="19" t="n">
        <v>0</v>
      </c>
      <c r="K43" s="5">
        <f>G43+I43</f>
        <v/>
      </c>
    </row>
    <row r="44" ht="7.5" customHeight="1" s="22">
      <c r="K44" s="5" t="n"/>
    </row>
    <row r="45">
      <c r="A45" s="7" t="inlineStr">
        <is>
          <t>Other Expenses</t>
        </is>
      </c>
      <c r="G45" s="19" t="n">
        <v>0</v>
      </c>
      <c r="I45" s="19" t="n">
        <v>0</v>
      </c>
      <c r="K45" s="5">
        <f>G45+I45</f>
        <v/>
      </c>
    </row>
    <row r="46" ht="8.25" customHeight="1" s="22">
      <c r="G46" s="5" t="n"/>
      <c r="I46" s="5" t="n"/>
      <c r="K46" s="5" t="n"/>
    </row>
    <row r="47">
      <c r="A47" s="8" t="inlineStr">
        <is>
          <t>Total Expenses</t>
        </is>
      </c>
      <c r="G47" s="11">
        <f>SUM(G17:G45)</f>
        <v/>
      </c>
      <c r="I47" s="11">
        <f>SUM(I17:I45)</f>
        <v/>
      </c>
      <c r="K47" s="5" t="n"/>
    </row>
    <row r="48">
      <c r="L48" s="20">
        <f>-SUM(K17:K45)</f>
        <v/>
      </c>
    </row>
    <row r="49">
      <c r="A49" s="8" t="inlineStr">
        <is>
          <t>TAXABLE PROFIT, PER HMRC SUBMISSION TOTAL:</t>
        </is>
      </c>
      <c r="G49" s="6">
        <f>G14-G47</f>
        <v/>
      </c>
      <c r="I49" s="5" t="n"/>
    </row>
    <row r="50"/>
    <row r="51">
      <c r="A51" s="7" t="inlineStr">
        <is>
          <t>BUSINESS NET-PROFIT (FOR YOURE REFERENCE ONLY)</t>
        </is>
      </c>
      <c r="L51" s="21">
        <f>L14+L48</f>
        <v/>
      </c>
    </row>
  </sheetData>
  <mergeCells count="1">
    <mergeCell ref="E6:F6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2026-03-02T20:56:59Z</dcterms:created>
  <dcterms:modified xsi:type="dcterms:W3CDTF">2026-03-02T20:56:59Z</dcterms:modified>
</cp:coreProperties>
</file>