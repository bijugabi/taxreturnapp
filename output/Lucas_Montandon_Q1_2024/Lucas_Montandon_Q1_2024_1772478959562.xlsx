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360" yWindow="-1640" windowWidth="28800" windowHeight="16140" tabRatio="600" firstSheet="0" activeTab="0" autoFilterDateGrouping="1"/>
  </bookViews>
  <sheets>
    <sheet name="Sales" sheetId="1" state="visible" r:id="rId1"/>
    <sheet name="Purchases" sheetId="2" state="visible" r:id="rId2"/>
    <sheet name="ITSEFile" sheetId="3" state="visible" r:id="rId3"/>
  </sheets>
  <definedNames>
    <definedName name="_xlnm.Print_Area" localSheetId="2">'ITSEFile'!$A$1:$M$51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yyyy-mm-dd h:mm:ss"/>
  </numFmts>
  <fonts count="9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Berlin Sans FB"/>
      <family val="2"/>
      <b val="1"/>
      <color rgb="FF808080"/>
      <sz val="16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pivotButton="0" quotePrefix="0" xfId="0"/>
    <xf numFmtId="4" fontId="0" fillId="0" borderId="1" applyProtection="1" pivotButton="0" quotePrefix="0" xfId="0">
      <protection locked="0" hidden="0"/>
    </xf>
    <xf numFmtId="4" fontId="3" fillId="0" borderId="0" applyAlignment="1" pivotButton="0" quotePrefix="0" xfId="1">
      <alignment horizontal="center" vertical="center"/>
    </xf>
    <xf numFmtId="4" fontId="2" fillId="0" borderId="0" pivotButton="0" quotePrefix="0" xfId="0"/>
    <xf numFmtId="0" fontId="4" fillId="0" borderId="0" applyAlignment="1" pivotButton="0" quotePrefix="0" xfId="0">
      <alignment vertical="center"/>
    </xf>
    <xf numFmtId="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5" fillId="0" borderId="0" pivotButton="0" quotePrefix="0" xfId="0"/>
    <xf numFmtId="4" fontId="0" fillId="0" borderId="3" pivotButton="0" quotePrefix="0" xfId="0"/>
    <xf numFmtId="4" fontId="2" fillId="0" borderId="3" pivotButton="0" quotePrefix="0" xfId="0"/>
    <xf numFmtId="4" fontId="0" fillId="0" borderId="2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7" fillId="0" borderId="0" pivotButton="0" quotePrefix="0" xfId="0"/>
    <xf numFmtId="14" fontId="0" fillId="0" borderId="0" applyAlignment="1" pivotButton="0" quotePrefix="0" xfId="0">
      <alignment horizontal="center"/>
    </xf>
    <xf numFmtId="164" fontId="6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65" fontId="0" fillId="0" borderId="0" pivotButton="0" quotePrefix="0" xfId="0"/>
    <xf numFmtId="164" fontId="6" fillId="0" borderId="1" applyAlignment="1" pivotButton="0" quotePrefix="0" xfId="0">
      <alignment horizontal="center"/>
    </xf>
    <xf numFmtId="0" fontId="0" fillId="0" borderId="5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1:E22"/>
  <sheetViews>
    <sheetView tabSelected="1" workbookViewId="0">
      <selection activeCell="B20" sqref="B20"/>
    </sheetView>
  </sheetViews>
  <sheetFormatPr baseColWidth="10" defaultColWidth="8.83203125" defaultRowHeight="15"/>
  <cols>
    <col width="10.6640625" bestFit="1" customWidth="1" min="2" max="2"/>
    <col width="35.33203125" customWidth="1" min="4" max="4"/>
  </cols>
  <sheetData>
    <row r="1" ht="29" customHeight="1">
      <c r="B1" s="17" t="inlineStr">
        <is>
          <t>SALES</t>
        </is>
      </c>
    </row>
    <row r="4" customFormat="1" s="15">
      <c r="B4" s="15" t="inlineStr">
        <is>
          <t>Date</t>
        </is>
      </c>
      <c r="C4" s="15" t="inlineStr">
        <is>
          <t>Inv #</t>
        </is>
      </c>
      <c r="D4" s="15" t="inlineStr">
        <is>
          <t>Narrative</t>
        </is>
      </c>
      <c r="E4" s="15" t="inlineStr">
        <is>
          <t>£</t>
        </is>
      </c>
    </row>
    <row r="5">
      <c r="B5" s="18" t="n">
        <v>45356</v>
      </c>
      <c r="C5" s="15" t="inlineStr">
        <is>
          <t>N/A</t>
        </is>
      </c>
      <c r="D5" s="15" t="inlineStr">
        <is>
          <t>DAN GOLD TATTOO</t>
        </is>
      </c>
      <c r="E5" s="5" t="n">
        <v>1061.7</v>
      </c>
    </row>
    <row r="6">
      <c r="B6" s="18" t="n">
        <v>45330</v>
      </c>
      <c r="C6" s="15" t="inlineStr">
        <is>
          <t>N/A</t>
        </is>
      </c>
      <c r="D6" s="15" t="inlineStr">
        <is>
          <t>DAN GOLD TATTOO</t>
        </is>
      </c>
      <c r="E6" s="5" t="n">
        <v>500.1</v>
      </c>
    </row>
    <row r="7">
      <c r="B7" s="18" t="n">
        <v>45301</v>
      </c>
      <c r="C7" s="15" t="inlineStr">
        <is>
          <t>N/A</t>
        </is>
      </c>
      <c r="D7" s="15" t="inlineStr">
        <is>
          <t>COSTA COFFEE 43011785\THE PLAZA, 120 OXFORD STREET\LONDON\W1D 1LT   GBRGBR</t>
        </is>
      </c>
      <c r="E7" s="5" t="n">
        <v>4.45</v>
      </c>
    </row>
    <row r="8">
      <c r="B8" s="18" t="n">
        <v>45333</v>
      </c>
      <c r="C8" s="15" t="inlineStr">
        <is>
          <t>N/A</t>
        </is>
      </c>
      <c r="D8" s="15" t="inlineStr">
        <is>
          <t>DAN GOLD TATTOO</t>
        </is>
      </c>
      <c r="E8" s="5" t="n">
        <v>103.3</v>
      </c>
    </row>
    <row r="9">
      <c r="B9" s="18" t="n">
        <v>45912</v>
      </c>
      <c r="C9" s="15" t="inlineStr">
        <is>
          <t>Q2005</t>
        </is>
      </c>
      <c r="D9" s="15" t="inlineStr">
        <is>
          <t>Invoice for services in SEP</t>
        </is>
      </c>
      <c r="E9" s="5" t="n">
        <v>230</v>
      </c>
    </row>
    <row r="10">
      <c r="B10" s="18" t="n">
        <v>45915</v>
      </c>
      <c r="C10" s="15" t="inlineStr">
        <is>
          <t>Q2006</t>
        </is>
      </c>
      <c r="D10" s="15" t="inlineStr">
        <is>
          <t>Invoice for services in SEP</t>
        </is>
      </c>
      <c r="E10" s="5" t="n">
        <v>400</v>
      </c>
    </row>
    <row r="11">
      <c r="B11" s="18" t="n">
        <v>45917</v>
      </c>
      <c r="C11" s="15" t="inlineStr">
        <is>
          <t>Q2007</t>
        </is>
      </c>
      <c r="D11" s="15" t="inlineStr">
        <is>
          <t>Invoice for services in SEP</t>
        </is>
      </c>
      <c r="E11" s="5" t="n">
        <v>300</v>
      </c>
    </row>
    <row r="12">
      <c r="B12" s="18" t="n">
        <v>45919</v>
      </c>
      <c r="C12" s="15" t="inlineStr">
        <is>
          <t>Q2008</t>
        </is>
      </c>
      <c r="D12" s="15" t="inlineStr">
        <is>
          <t>Invoice for services in SEP</t>
        </is>
      </c>
      <c r="E12" s="5" t="n">
        <v>300</v>
      </c>
    </row>
    <row r="13">
      <c r="B13" s="18" t="n">
        <v>45925</v>
      </c>
      <c r="C13" s="15" t="inlineStr">
        <is>
          <t>Q2009</t>
        </is>
      </c>
      <c r="D13" s="15" t="inlineStr">
        <is>
          <t>Invoice for services in SEP</t>
        </is>
      </c>
      <c r="E13" s="5" t="n">
        <v>300</v>
      </c>
    </row>
    <row r="14" ht="16" customHeight="1" thickBot="1">
      <c r="B14" s="18" t="n">
        <v>45932</v>
      </c>
      <c r="C14" s="15" t="inlineStr">
        <is>
          <t>Q2010</t>
        </is>
      </c>
      <c r="D14" s="15" t="inlineStr">
        <is>
          <t>Invoice for services in OCT</t>
        </is>
      </c>
      <c r="E14" s="5" t="n">
        <v>30</v>
      </c>
    </row>
    <row r="15" ht="16" customHeight="1" thickTop="1">
      <c r="E15" s="13">
        <f>SUM(E5:E8)</f>
        <v/>
      </c>
    </row>
    <row r="19">
      <c r="B19" t="inlineStr">
        <is>
          <t>Profit for Q2:</t>
        </is>
      </c>
      <c r="D19" s="15" t="inlineStr">
        <is>
          <t>Sales</t>
        </is>
      </c>
      <c r="E19" s="5">
        <f>E15</f>
        <v/>
      </c>
    </row>
    <row r="20">
      <c r="D20" s="15" t="inlineStr">
        <is>
          <t>Purchases</t>
        </is>
      </c>
      <c r="E20" s="5">
        <f>-Purchases!E9</f>
        <v/>
      </c>
    </row>
    <row r="21" ht="16" customHeight="1" thickBot="1"/>
    <row r="22" ht="16" customHeight="1" thickTop="1">
      <c r="D22" s="6" t="inlineStr">
        <is>
          <t>Profit for Q2:</t>
        </is>
      </c>
      <c r="E22" s="13">
        <f>SUM(E18:E21)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/>
  </sheetPr>
  <dimension ref="A1:E85"/>
  <sheetViews>
    <sheetView workbookViewId="0">
      <selection activeCell="H12" sqref="H12"/>
    </sheetView>
  </sheetViews>
  <sheetFormatPr baseColWidth="10" defaultColWidth="8.83203125" defaultRowHeight="15"/>
  <cols>
    <col width="10.6640625" bestFit="1" customWidth="1" min="2" max="2"/>
    <col width="35.33203125" customWidth="1" min="4" max="4"/>
  </cols>
  <sheetData>
    <row r="1" ht="29" customHeight="1">
      <c r="B1" s="17" t="inlineStr">
        <is>
          <t>PURCHASES</t>
        </is>
      </c>
    </row>
    <row r="4" customFormat="1" s="8">
      <c r="B4" s="8" t="inlineStr">
        <is>
          <t>Date</t>
        </is>
      </c>
      <c r="C4" s="8" t="inlineStr">
        <is>
          <t>Inv #</t>
        </is>
      </c>
      <c r="D4" s="8" t="inlineStr">
        <is>
          <t>Narrative</t>
        </is>
      </c>
      <c r="E4" s="8" t="inlineStr">
        <is>
          <t>£</t>
        </is>
      </c>
    </row>
    <row r="5">
      <c r="B5" s="18" t="n">
        <v>45296</v>
      </c>
      <c r="C5" s="15" t="inlineStr">
        <is>
          <t>N/A</t>
        </is>
      </c>
      <c r="D5" s="15" t="inlineStr">
        <is>
          <t>TfL Travel Charge      TFL.gov.uk/CP GBR</t>
        </is>
      </c>
      <c r="E5" s="5" t="n">
        <v>5.4</v>
      </c>
    </row>
    <row r="6">
      <c r="B6" s="18" t="n">
        <v>45296</v>
      </c>
      <c r="C6" s="15" t="inlineStr">
        <is>
          <t>N/A</t>
        </is>
      </c>
      <c r="D6" s="15" t="inlineStr">
        <is>
          <t>WIZZ AIR               LONDON        GBR</t>
        </is>
      </c>
      <c r="E6" s="5" t="n">
        <v>107.98</v>
      </c>
    </row>
    <row r="7">
      <c r="B7" s="18" t="n">
        <v>45296</v>
      </c>
      <c r="C7" s="15" t="inlineStr">
        <is>
          <t>N/A</t>
        </is>
      </c>
      <c r="D7" s="15" t="inlineStr">
        <is>
          <t>Charlotte araujo</t>
        </is>
      </c>
      <c r="E7" s="5" t="n">
        <v>700</v>
      </c>
    </row>
    <row r="8" ht="16" customHeight="1" thickBot="1">
      <c r="B8" s="16" t="n">
        <v>45327</v>
      </c>
      <c r="C8" t="inlineStr">
        <is>
          <t>N/A</t>
        </is>
      </c>
      <c r="D8" t="inlineStr">
        <is>
          <t>SAINSBURYS             LONDON        GBR</t>
        </is>
      </c>
      <c r="E8" s="5" t="n">
        <v>6</v>
      </c>
    </row>
    <row r="9" ht="16" customHeight="1" thickTop="1">
      <c r="B9" s="21" t="n">
        <v>45327</v>
      </c>
      <c r="C9" t="inlineStr">
        <is>
          <t>N/A</t>
        </is>
      </c>
      <c r="D9" t="inlineStr">
        <is>
          <t>SAINSBURYS S/MKTS      LONDON        GBR</t>
        </is>
      </c>
      <c r="E9" t="n">
        <v>9.6</v>
      </c>
    </row>
    <row r="10">
      <c r="B10" s="21" t="n">
        <v>45327</v>
      </c>
      <c r="C10" t="inlineStr">
        <is>
          <t>N/A</t>
        </is>
      </c>
      <c r="D10" t="inlineStr">
        <is>
          <t>NISA LOCAL             LONDON        GBR</t>
        </is>
      </c>
      <c r="E10" t="n">
        <v>4.38</v>
      </c>
    </row>
    <row r="11">
      <c r="B11" s="21" t="n">
        <v>45356</v>
      </c>
      <c r="C11" t="inlineStr">
        <is>
          <t>N/A</t>
        </is>
      </c>
      <c r="D11" t="inlineStr">
        <is>
          <t>SAINSBURYS             LONDON        GBR</t>
        </is>
      </c>
      <c r="E11" t="n">
        <v>5</v>
      </c>
    </row>
    <row r="12">
      <c r="B12" s="21" t="n">
        <v>45356</v>
      </c>
      <c r="C12" t="inlineStr">
        <is>
          <t>N/A</t>
        </is>
      </c>
      <c r="D12" t="inlineStr">
        <is>
          <t>TFL TRAVEL CH\VICTORIA STREET\TFL.GOV.UK/CP\SW1H 0TL     GBR</t>
        </is>
      </c>
      <c r="E12" t="n">
        <v>3.5</v>
      </c>
    </row>
    <row r="13">
      <c r="B13" s="21" t="n">
        <v>45356</v>
      </c>
      <c r="C13" t="inlineStr">
        <is>
          <t>N/A</t>
        </is>
      </c>
      <c r="D13" t="inlineStr">
        <is>
          <t>SAINSBURYS             LONDON        GBR</t>
        </is>
      </c>
      <c r="E13" t="n">
        <v>3.5</v>
      </c>
    </row>
    <row r="14">
      <c r="B14" s="21" t="n">
        <v>45356</v>
      </c>
      <c r="C14" t="inlineStr">
        <is>
          <t>N/A</t>
        </is>
      </c>
      <c r="D14" t="inlineStr">
        <is>
          <t>PPOINT_*AUG London LTD London        GBR</t>
        </is>
      </c>
      <c r="E14" t="n">
        <v>3.79</v>
      </c>
    </row>
    <row r="15">
      <c r="B15" s="21" t="n">
        <v>45297</v>
      </c>
      <c r="C15" t="inlineStr">
        <is>
          <t>N/A</t>
        </is>
      </c>
      <c r="D15" t="inlineStr">
        <is>
          <t>Zettle_*NM BURGER HEAD London        GBR</t>
        </is>
      </c>
      <c r="E15" t="n">
        <v>17.33</v>
      </c>
    </row>
    <row r="16">
      <c r="B16" s="21" t="n">
        <v>45297</v>
      </c>
      <c r="C16" t="inlineStr">
        <is>
          <t>N/A</t>
        </is>
      </c>
      <c r="D16" t="inlineStr">
        <is>
          <t>TFL TRAVEL CH\VICTORIA STREET\TFL.GOV.UK/CP\SW1H 0TL     GBR</t>
        </is>
      </c>
      <c r="E16" t="n">
        <v>1.75</v>
      </c>
    </row>
    <row r="17">
      <c r="B17" s="21" t="n">
        <v>45297</v>
      </c>
      <c r="C17" t="inlineStr">
        <is>
          <t>N/A</t>
        </is>
      </c>
      <c r="D17" t="inlineStr">
        <is>
          <t>property Guardian Protection ltd</t>
        </is>
      </c>
      <c r="E17" t="n">
        <v>700</v>
      </c>
    </row>
    <row r="18">
      <c r="B18" s="21" t="n">
        <v>45297</v>
      </c>
      <c r="C18" t="inlineStr">
        <is>
          <t>N/A</t>
        </is>
      </c>
      <c r="D18" t="inlineStr">
        <is>
          <t>50 Kalo Di Ciro Salvo  London        GBR</t>
        </is>
      </c>
      <c r="E18" t="n">
        <v>30</v>
      </c>
    </row>
    <row r="19">
      <c r="B19" s="21" t="n">
        <v>45297</v>
      </c>
      <c r="C19" t="inlineStr">
        <is>
          <t>N/A</t>
        </is>
      </c>
      <c r="D19" t="inlineStr">
        <is>
          <t>COSTLES FOOD AND WINE  LONDON        GBR</t>
        </is>
      </c>
      <c r="E19" t="n">
        <v>1.5</v>
      </c>
    </row>
    <row r="20">
      <c r="B20" s="21" t="n">
        <v>45328</v>
      </c>
      <c r="C20" t="inlineStr">
        <is>
          <t>N/A</t>
        </is>
      </c>
      <c r="D20" t="inlineStr">
        <is>
          <t>SAINSBURYS             LONDON        GBR</t>
        </is>
      </c>
      <c r="E20" t="n">
        <v>3.84</v>
      </c>
    </row>
    <row r="21">
      <c r="B21" s="21" t="n">
        <v>45328</v>
      </c>
      <c r="C21" t="inlineStr">
        <is>
          <t>N/A</t>
        </is>
      </c>
      <c r="D21" t="inlineStr">
        <is>
          <t>TFL TRAVEL CH\VICTORIA STREET\TFL.GOV.UK/CP\SW1H 0TL     GBR</t>
        </is>
      </c>
      <c r="E21" t="n">
        <v>5.25</v>
      </c>
    </row>
    <row r="22">
      <c r="B22" s="21" t="n">
        <v>45328</v>
      </c>
      <c r="C22" t="inlineStr">
        <is>
          <t>N/A</t>
        </is>
      </c>
      <c r="D22" t="inlineStr">
        <is>
          <t>CO-OP GROUP FOOD       LONDON        GBR</t>
        </is>
      </c>
      <c r="E22" t="n">
        <v>9.25</v>
      </c>
    </row>
    <row r="23">
      <c r="B23" s="21" t="n">
        <v>45328</v>
      </c>
      <c r="C23" t="inlineStr">
        <is>
          <t>N/A</t>
        </is>
      </c>
      <c r="D23" t="inlineStr">
        <is>
          <t>CO-OP GROUP FOOD       LONDON        GBR</t>
        </is>
      </c>
      <c r="E23" t="n">
        <v>2.1</v>
      </c>
    </row>
    <row r="24">
      <c r="B24" s="21" t="n">
        <v>45357</v>
      </c>
      <c r="C24" t="inlineStr">
        <is>
          <t>N/A</t>
        </is>
      </c>
      <c r="D24" t="inlineStr">
        <is>
          <t>TFL TRAVEL CH\VICTORIA STREET\TFL.GOV.UK/CP\SW1H 0TL     GBR</t>
        </is>
      </c>
      <c r="E24" t="n">
        <v>1.75</v>
      </c>
    </row>
    <row r="25">
      <c r="B25" s="21" t="n">
        <v>45298</v>
      </c>
      <c r="C25" t="inlineStr">
        <is>
          <t>N/A</t>
        </is>
      </c>
      <c r="D25" t="inlineStr">
        <is>
          <t>TfL Travel Charge      TFL.gov.uk/CP GBR</t>
        </is>
      </c>
      <c r="E25" t="n">
        <v>5.25</v>
      </c>
    </row>
    <row r="26">
      <c r="B26" s="21" t="n">
        <v>45298</v>
      </c>
      <c r="C26" t="inlineStr">
        <is>
          <t>N/A</t>
        </is>
      </c>
      <c r="D26" t="inlineStr">
        <is>
          <t>THERAPIE CLINIC        LONDON        GBR</t>
        </is>
      </c>
      <c r="E26" t="n">
        <v>164.7</v>
      </c>
    </row>
    <row r="27">
      <c r="B27" s="21" t="n">
        <v>45298</v>
      </c>
      <c r="C27" t="inlineStr">
        <is>
          <t>N/A</t>
        </is>
      </c>
      <c r="D27" t="inlineStr">
        <is>
          <t>JOE THE JUICE UK LTD   London        GBR</t>
        </is>
      </c>
      <c r="E27" t="n">
        <v>14.8</v>
      </c>
    </row>
    <row r="28">
      <c r="B28" s="21" t="n">
        <v>45298</v>
      </c>
      <c r="C28" t="inlineStr">
        <is>
          <t>N/A</t>
        </is>
      </c>
      <c r="D28" t="inlineStr">
        <is>
          <t>CO-OP GROUP FOOD       LONDON        GBR</t>
        </is>
      </c>
      <c r="E28" t="n">
        <v>2.25</v>
      </c>
    </row>
    <row r="29">
      <c r="B29" s="21" t="n">
        <v>45329</v>
      </c>
      <c r="C29" t="inlineStr">
        <is>
          <t>N/A</t>
        </is>
      </c>
      <c r="D29" t="inlineStr">
        <is>
          <t>CO-OP GROUP FOOD       LONDON        GBR</t>
        </is>
      </c>
      <c r="E29" t="n">
        <v>10.85</v>
      </c>
    </row>
    <row r="30">
      <c r="B30" s="21" t="n">
        <v>45329</v>
      </c>
      <c r="C30" t="inlineStr">
        <is>
          <t>N/A</t>
        </is>
      </c>
      <c r="D30" t="inlineStr">
        <is>
          <t>TFL TRAVEL CH\VICTORIA STREET\TFL.GOV.UK/CP\SW1H 0TL     GBR</t>
        </is>
      </c>
      <c r="E30" t="n">
        <v>8.5</v>
      </c>
    </row>
    <row r="31">
      <c r="B31" s="21" t="n">
        <v>45329</v>
      </c>
      <c r="C31" t="inlineStr">
        <is>
          <t>N/A</t>
        </is>
      </c>
      <c r="D31" t="inlineStr">
        <is>
          <t>DOMINO'S PIZZA         MILTON KEYNES GBR</t>
        </is>
      </c>
      <c r="E31" t="n">
        <v>19.78</v>
      </c>
    </row>
    <row r="32">
      <c r="B32" s="21" t="n">
        <v>45329</v>
      </c>
      <c r="C32" t="inlineStr">
        <is>
          <t>N/A</t>
        </is>
      </c>
      <c r="D32" t="inlineStr">
        <is>
          <t>AIRBNB * HMJCKXDP5S    203-318-1111  GBR</t>
        </is>
      </c>
      <c r="E32" t="n">
        <v>174.36</v>
      </c>
    </row>
    <row r="33">
      <c r="B33" s="21" t="n">
        <v>45329</v>
      </c>
      <c r="C33" t="inlineStr">
        <is>
          <t>N/A</t>
        </is>
      </c>
      <c r="D33" t="inlineStr">
        <is>
          <t>Charlotte araujo</t>
        </is>
      </c>
      <c r="E33" t="n">
        <v>700</v>
      </c>
    </row>
    <row r="34">
      <c r="B34" s="21" t="n">
        <v>45358</v>
      </c>
      <c r="C34" t="inlineStr">
        <is>
          <t>N/A</t>
        </is>
      </c>
      <c r="D34" t="inlineStr">
        <is>
          <t>TFL TRAVEL CH\VICTORIA STREET\TFL.GOV.UK/CP\SW1H 0TL     GBR</t>
        </is>
      </c>
      <c r="E34" t="n">
        <v>3.7</v>
      </c>
    </row>
    <row r="35">
      <c r="B35" s="21" t="n">
        <v>45358</v>
      </c>
      <c r="C35" t="inlineStr">
        <is>
          <t>N/A</t>
        </is>
      </c>
      <c r="D35" t="inlineStr">
        <is>
          <t>Boxpark Shoreditch     London        GBR</t>
        </is>
      </c>
      <c r="E35" t="n">
        <v>25.1</v>
      </c>
    </row>
    <row r="36">
      <c r="B36" s="21" t="n">
        <v>45299</v>
      </c>
      <c r="C36" t="inlineStr">
        <is>
          <t>N/A</t>
        </is>
      </c>
      <c r="D36" t="inlineStr">
        <is>
          <t>TFL TRAVEL CH\VICTORIA STREET\TFL.GOV.UK/CP\SW1H 0TL     GBR</t>
        </is>
      </c>
      <c r="E36" t="n">
        <v>1.75</v>
      </c>
    </row>
    <row r="37">
      <c r="B37" s="21" t="n">
        <v>45299</v>
      </c>
      <c r="C37" t="inlineStr">
        <is>
          <t>N/A</t>
        </is>
      </c>
      <c r="D37" t="inlineStr">
        <is>
          <t>SAINSBURYS             LONDON        GBR</t>
        </is>
      </c>
      <c r="E37" t="n">
        <v>4.39</v>
      </c>
    </row>
    <row r="38">
      <c r="B38" s="21" t="n">
        <v>45299</v>
      </c>
      <c r="C38" t="inlineStr">
        <is>
          <t>N/A</t>
        </is>
      </c>
      <c r="D38" t="inlineStr">
        <is>
          <t>property Guardian Protection ltd</t>
        </is>
      </c>
      <c r="E38" t="n">
        <v>700</v>
      </c>
    </row>
    <row r="39">
      <c r="B39" s="21" t="n">
        <v>45330</v>
      </c>
      <c r="C39" t="inlineStr">
        <is>
          <t>N/A</t>
        </is>
      </c>
      <c r="D39" t="inlineStr">
        <is>
          <t>SAINSBURYS             LONDON        GBR</t>
        </is>
      </c>
      <c r="E39" t="n">
        <v>5.9</v>
      </c>
    </row>
    <row r="40">
      <c r="B40" s="21" t="n">
        <v>45330</v>
      </c>
      <c r="C40" t="inlineStr">
        <is>
          <t>N/A</t>
        </is>
      </c>
      <c r="D40" t="inlineStr">
        <is>
          <t>TFL TRAVEL CH\VICTORIA STREET\TFL.GOV.UK/CP\SW1H 0TL     GBR</t>
        </is>
      </c>
      <c r="E40" t="n">
        <v>4.55</v>
      </c>
    </row>
    <row r="41">
      <c r="B41" s="21" t="n">
        <v>45330</v>
      </c>
      <c r="C41" t="inlineStr">
        <is>
          <t>N/A</t>
        </is>
      </c>
      <c r="D41" t="inlineStr">
        <is>
          <t>BOLT.EU/O/2408022333   London        GBR</t>
        </is>
      </c>
      <c r="E41" t="n">
        <v>11.2</v>
      </c>
    </row>
    <row r="42">
      <c r="B42" s="21" t="n">
        <v>45359</v>
      </c>
      <c r="C42" t="inlineStr">
        <is>
          <t>N/A</t>
        </is>
      </c>
      <c r="D42" t="inlineStr">
        <is>
          <t>SAINSBURYS             LONDON        GBR</t>
        </is>
      </c>
      <c r="E42" t="n">
        <v>3.75</v>
      </c>
    </row>
    <row r="43">
      <c r="B43" s="21" t="n">
        <v>45359</v>
      </c>
      <c r="C43" t="inlineStr">
        <is>
          <t>N/A</t>
        </is>
      </c>
      <c r="D43" t="inlineStr">
        <is>
          <t>TFL TRAVEL CH\VICTORIA STREET\TFL.GOV.UK/CP\SW1H 0TL     GBR</t>
        </is>
      </c>
      <c r="E43" t="n">
        <v>4.55</v>
      </c>
    </row>
    <row r="44">
      <c r="B44" s="21" t="n">
        <v>45300</v>
      </c>
      <c r="C44" t="inlineStr">
        <is>
          <t>N/A</t>
        </is>
      </c>
      <c r="D44" t="inlineStr">
        <is>
          <t>TFL TRAVEL CH\VICTORIA STREET\TFL.GOV.UK/CP\SW1H 0TL     GBR</t>
        </is>
      </c>
      <c r="E44" t="n">
        <v>1.75</v>
      </c>
    </row>
    <row r="45">
      <c r="B45" s="21" t="n">
        <v>45300</v>
      </c>
      <c r="C45" t="inlineStr">
        <is>
          <t>N/A</t>
        </is>
      </c>
      <c r="D45" t="inlineStr">
        <is>
          <t>SAINSBURYS             LONDON        GBR</t>
        </is>
      </c>
      <c r="E45" t="n">
        <v>3.75</v>
      </c>
    </row>
    <row r="46">
      <c r="B46" s="21" t="n">
        <v>45300</v>
      </c>
      <c r="C46" t="inlineStr">
        <is>
          <t>N/A</t>
        </is>
      </c>
      <c r="D46" t="inlineStr">
        <is>
          <t>Charlotte araujo</t>
        </is>
      </c>
      <c r="E46" t="n">
        <v>700</v>
      </c>
    </row>
    <row r="47">
      <c r="B47" s="21" t="n">
        <v>45300</v>
      </c>
      <c r="C47" t="inlineStr">
        <is>
          <t>N/A</t>
        </is>
      </c>
      <c r="D47" t="inlineStr">
        <is>
          <t>Green Man              LONDON        GBR</t>
        </is>
      </c>
      <c r="E47" t="n">
        <v>13.95</v>
      </c>
    </row>
    <row r="48">
      <c r="B48" s="21" t="n">
        <v>45300</v>
      </c>
      <c r="C48" t="inlineStr">
        <is>
          <t>N/A</t>
        </is>
      </c>
      <c r="D48" t="inlineStr">
        <is>
          <t>CO-OP GROUP FOOD       LONDON        GBR</t>
        </is>
      </c>
      <c r="E48" t="n">
        <v>10.15</v>
      </c>
    </row>
    <row r="49">
      <c r="B49" s="21" t="n">
        <v>45331</v>
      </c>
      <c r="C49" t="inlineStr">
        <is>
          <t>N/A</t>
        </is>
      </c>
      <c r="D49" t="inlineStr">
        <is>
          <t>TFL TRAVEL CH\VICTORIA STREET\TFL.GOV.UK/CP\SW1H 0TL     GBR</t>
        </is>
      </c>
      <c r="E49" t="n">
        <v>5.25</v>
      </c>
    </row>
    <row r="50">
      <c r="B50" s="21" t="n">
        <v>45331</v>
      </c>
      <c r="C50" t="inlineStr">
        <is>
          <t>N/A</t>
        </is>
      </c>
      <c r="D50" t="inlineStr">
        <is>
          <t>T1204494782</t>
        </is>
      </c>
      <c r="E50" t="n">
        <v>847.45</v>
      </c>
    </row>
    <row r="51">
      <c r="B51" s="21" t="n">
        <v>45331</v>
      </c>
      <c r="C51" t="inlineStr">
        <is>
          <t>N/A</t>
        </is>
      </c>
      <c r="D51" t="inlineStr">
        <is>
          <t>T1204732782</t>
        </is>
      </c>
      <c r="E51" t="n">
        <v>848.04</v>
      </c>
    </row>
    <row r="52">
      <c r="B52" s="21" t="n">
        <v>45360</v>
      </c>
      <c r="C52" t="inlineStr">
        <is>
          <t>N/A</t>
        </is>
      </c>
      <c r="D52" t="inlineStr">
        <is>
          <t>easyJet                Luton         GBR</t>
        </is>
      </c>
      <c r="E52" t="n">
        <v>103.4</v>
      </c>
    </row>
    <row r="53">
      <c r="B53" s="21" t="n">
        <v>45360</v>
      </c>
      <c r="C53" t="inlineStr">
        <is>
          <t>N/A</t>
        </is>
      </c>
      <c r="D53" t="inlineStr">
        <is>
          <t>FlixBus UK Ltd.        Berlin        DEU</t>
        </is>
      </c>
      <c r="E53" t="n">
        <v>2.49</v>
      </c>
    </row>
    <row r="54">
      <c r="B54" s="21" t="n">
        <v>45360</v>
      </c>
      <c r="C54" t="inlineStr">
        <is>
          <t>N/A</t>
        </is>
      </c>
      <c r="D54" t="inlineStr">
        <is>
          <t>Just Eat               London        GBR</t>
        </is>
      </c>
      <c r="E54" t="n">
        <v>15.3</v>
      </c>
    </row>
    <row r="55">
      <c r="B55" s="21" t="n">
        <v>45301</v>
      </c>
      <c r="C55" t="inlineStr">
        <is>
          <t>N/A</t>
        </is>
      </c>
      <c r="D55" t="inlineStr">
        <is>
          <t>TfL Travel Charge      TFL.gov.uk/CP GBR</t>
        </is>
      </c>
      <c r="E55" t="n">
        <v>3.5</v>
      </c>
    </row>
    <row r="56">
      <c r="B56" s="21" t="n">
        <v>45301</v>
      </c>
      <c r="C56" t="inlineStr">
        <is>
          <t>N/A</t>
        </is>
      </c>
      <c r="D56" t="inlineStr">
        <is>
          <t>BA REFUNDS &amp; SERVICES  LONDON        GBR</t>
        </is>
      </c>
      <c r="E56" t="n">
        <v>150</v>
      </c>
    </row>
    <row r="57">
      <c r="B57" s="21" t="n">
        <v>45301</v>
      </c>
      <c r="C57" t="inlineStr">
        <is>
          <t>N/A</t>
        </is>
      </c>
      <c r="D57" t="inlineStr">
        <is>
          <t>Wasabi_TottenhamCourtR London        GBR</t>
        </is>
      </c>
      <c r="E57" t="n">
        <v>4.95</v>
      </c>
    </row>
    <row r="58">
      <c r="B58" s="21" t="n">
        <v>45301</v>
      </c>
      <c r="C58" t="inlineStr">
        <is>
          <t>N/A</t>
        </is>
      </c>
      <c r="D58" t="inlineStr">
        <is>
          <t>SHEIN.COM              Berkshire     GBR</t>
        </is>
      </c>
      <c r="E58" t="n">
        <v>161.12</v>
      </c>
    </row>
    <row r="59">
      <c r="B59" s="21" t="n">
        <v>45301</v>
      </c>
      <c r="C59" t="inlineStr">
        <is>
          <t>N/A</t>
        </is>
      </c>
      <c r="D59" t="inlineStr">
        <is>
          <t>SAINSBURYS             LONDON        GBR</t>
        </is>
      </c>
      <c r="E59" t="n">
        <v>5</v>
      </c>
    </row>
    <row r="60">
      <c r="B60" s="21" t="n">
        <v>45301</v>
      </c>
      <c r="C60" t="inlineStr">
        <is>
          <t>N/A</t>
        </is>
      </c>
      <c r="D60" t="inlineStr">
        <is>
          <t>Charlotte araujo</t>
        </is>
      </c>
      <c r="E60" t="n">
        <v>700</v>
      </c>
    </row>
    <row r="61">
      <c r="B61" s="21" t="n">
        <v>45301</v>
      </c>
      <c r="C61" t="inlineStr">
        <is>
          <t>N/A</t>
        </is>
      </c>
      <c r="D61" t="inlineStr">
        <is>
          <t>CLAIRE'S ACCESSORIES   OXFRD ST2 123 GBR</t>
        </is>
      </c>
      <c r="E61" t="n">
        <v>6.25</v>
      </c>
    </row>
    <row r="62">
      <c r="B62" s="21" t="n">
        <v>45332</v>
      </c>
      <c r="C62" t="inlineStr">
        <is>
          <t>N/A</t>
        </is>
      </c>
      <c r="D62" t="inlineStr">
        <is>
          <t>SAINSBURYS             LONDON        GBR</t>
        </is>
      </c>
      <c r="E62" t="n">
        <v>5</v>
      </c>
    </row>
    <row r="63">
      <c r="B63" s="21" t="n">
        <v>45332</v>
      </c>
      <c r="C63" t="inlineStr">
        <is>
          <t>N/A</t>
        </is>
      </c>
      <c r="D63" t="inlineStr">
        <is>
          <t>TFL TRAVEL CH\VICTORIA STREET\TFL.GOV.UK/CP\SW1H 0TL     GBR</t>
        </is>
      </c>
      <c r="E63" t="n">
        <v>3.5</v>
      </c>
    </row>
    <row r="64">
      <c r="B64" s="21" t="n">
        <v>45332</v>
      </c>
      <c r="C64" t="inlineStr">
        <is>
          <t>N/A</t>
        </is>
      </c>
      <c r="D64" t="inlineStr">
        <is>
          <t>SAINSBURYS             LONDON        GBR</t>
        </is>
      </c>
      <c r="E64" t="n">
        <v>3.75</v>
      </c>
    </row>
    <row r="65">
      <c r="B65" s="21" t="n">
        <v>45332</v>
      </c>
      <c r="C65" t="inlineStr">
        <is>
          <t>N/A</t>
        </is>
      </c>
      <c r="D65" t="inlineStr">
        <is>
          <t>CO-OP GROUP FOOD       LONDON        GBR</t>
        </is>
      </c>
      <c r="E65" t="n">
        <v>5.9</v>
      </c>
    </row>
    <row r="66">
      <c r="B66" s="21" t="n">
        <v>45361</v>
      </c>
      <c r="C66" t="inlineStr">
        <is>
          <t>N/A</t>
        </is>
      </c>
      <c r="D66" t="inlineStr">
        <is>
          <t>TFL TRAVEL CH\VICTORIA STREET\TFL.GOV.UK/CP\SW1H 0TL     GBR</t>
        </is>
      </c>
      <c r="E66" t="n">
        <v>3.5</v>
      </c>
    </row>
    <row r="67">
      <c r="B67" s="21" t="n">
        <v>45361</v>
      </c>
      <c r="C67" t="inlineStr">
        <is>
          <t>N/A</t>
        </is>
      </c>
      <c r="D67" t="inlineStr">
        <is>
          <t>SAINSBURYS             LONDON        GBR</t>
        </is>
      </c>
      <c r="E67" t="n">
        <v>5</v>
      </c>
    </row>
    <row r="68">
      <c r="B68" s="21" t="n">
        <v>45302</v>
      </c>
      <c r="C68" t="inlineStr">
        <is>
          <t>N/A</t>
        </is>
      </c>
      <c r="D68" t="inlineStr">
        <is>
          <t>AIR TRANSAT            Quebec        CAN</t>
        </is>
      </c>
      <c r="E68" t="n">
        <v>159.61</v>
      </c>
    </row>
    <row r="69">
      <c r="B69" s="21" t="n">
        <v>45302</v>
      </c>
      <c r="C69" t="inlineStr">
        <is>
          <t>N/A</t>
        </is>
      </c>
      <c r="D69" t="inlineStr">
        <is>
          <t>7-ELEVEN 35268         MIAMI BEACH   USA</t>
        </is>
      </c>
      <c r="E69" t="n">
        <v>2.33</v>
      </c>
    </row>
    <row r="70">
      <c r="B70" s="21" t="n">
        <v>45302</v>
      </c>
      <c r="C70" t="inlineStr">
        <is>
          <t>N/A</t>
        </is>
      </c>
      <c r="D70" t="inlineStr">
        <is>
          <t>7-ELEVEN 35268         MIAMI BEACH   USA</t>
        </is>
      </c>
      <c r="E70" t="n">
        <v>2.33</v>
      </c>
    </row>
    <row r="71">
      <c r="B71" s="21" t="n">
        <v>45302</v>
      </c>
      <c r="C71" t="inlineStr">
        <is>
          <t>N/A</t>
        </is>
      </c>
      <c r="D71" t="inlineStr">
        <is>
          <t>Charlotte araujo</t>
        </is>
      </c>
      <c r="E71" t="n">
        <v>700</v>
      </c>
    </row>
    <row r="72">
      <c r="B72" s="21" t="n">
        <v>45333</v>
      </c>
      <c r="C72" t="inlineStr">
        <is>
          <t>N/A</t>
        </is>
      </c>
      <c r="D72" t="inlineStr">
        <is>
          <t>USH ONLINE TICKET STOR UNIVERSAL CIT USA</t>
        </is>
      </c>
      <c r="E72" t="n">
        <v>214.75</v>
      </c>
    </row>
    <row r="73">
      <c r="B73" s="21" t="n">
        <v>45362</v>
      </c>
      <c r="C73" t="inlineStr">
        <is>
          <t>N/A</t>
        </is>
      </c>
      <c r="D73" t="inlineStr">
        <is>
          <t>PANDA EXPRESS          UNIVERSAL CIT USA</t>
        </is>
      </c>
      <c r="E73" t="n">
        <v>28.09</v>
      </c>
    </row>
    <row r="74">
      <c r="B74" s="21" t="n">
        <v>45362</v>
      </c>
      <c r="C74" t="inlineStr">
        <is>
          <t>N/A</t>
        </is>
      </c>
      <c r="D74" t="inlineStr">
        <is>
          <t>AMC 0201 PORTER RANCH  PORTER RANCH  USA</t>
        </is>
      </c>
      <c r="E74" t="n">
        <v>46.37</v>
      </c>
    </row>
    <row r="75">
      <c r="B75" s="21" t="n">
        <v>45303</v>
      </c>
      <c r="C75" t="inlineStr">
        <is>
          <t>N/A</t>
        </is>
      </c>
      <c r="D75" t="inlineStr">
        <is>
          <t>TFL TRAVEL CH\VICTORIA STREET\TFL.GOV.UK/CP\SW1H 0TL     GBR</t>
        </is>
      </c>
      <c r="E75" t="n">
        <v>3.5</v>
      </c>
    </row>
    <row r="76">
      <c r="B76" s="21" t="n">
        <v>45303</v>
      </c>
      <c r="C76" t="inlineStr">
        <is>
          <t>N/A</t>
        </is>
      </c>
      <c r="D76" t="inlineStr">
        <is>
          <t>Charlotte araujo</t>
        </is>
      </c>
      <c r="E76" t="n">
        <v>700</v>
      </c>
    </row>
    <row r="77">
      <c r="B77" s="21" t="n">
        <v>45303</v>
      </c>
      <c r="C77" t="inlineStr">
        <is>
          <t>N/A</t>
        </is>
      </c>
      <c r="D77" t="inlineStr">
        <is>
          <t>SAINSBURYS             LONDON        GBR</t>
        </is>
      </c>
      <c r="E77" t="n">
        <v>3.34</v>
      </c>
    </row>
    <row r="78">
      <c r="B78" s="21" t="n">
        <v>45303</v>
      </c>
      <c r="C78" t="inlineStr">
        <is>
          <t>N/A</t>
        </is>
      </c>
      <c r="D78" t="inlineStr">
        <is>
          <t>Green Man              LONDON        GBR</t>
        </is>
      </c>
      <c r="E78" t="n">
        <v>13.85</v>
      </c>
    </row>
    <row r="79">
      <c r="B79" s="21" t="n">
        <v>45303</v>
      </c>
      <c r="C79" t="inlineStr">
        <is>
          <t>N/A</t>
        </is>
      </c>
      <c r="D79" t="inlineStr">
        <is>
          <t>MCDONALDS              LONDON        GBR</t>
        </is>
      </c>
      <c r="E79" t="n">
        <v>10.46</v>
      </c>
    </row>
    <row r="80">
      <c r="B80" s="21" t="n">
        <v>45334</v>
      </c>
      <c r="C80" t="inlineStr">
        <is>
          <t>N/A</t>
        </is>
      </c>
      <c r="D80" t="inlineStr">
        <is>
          <t>THE GYM GROUP          CROYDON       GBR</t>
        </is>
      </c>
      <c r="E80" t="n">
        <v>16.5</v>
      </c>
    </row>
    <row r="81">
      <c r="B81" s="21" t="n">
        <v>45334</v>
      </c>
      <c r="C81" t="inlineStr">
        <is>
          <t>N/A</t>
        </is>
      </c>
      <c r="D81" t="inlineStr">
        <is>
          <t>TfL Travel Charge      TFL.gov.uk/CP GBR</t>
        </is>
      </c>
      <c r="E81" t="n">
        <v>3.5</v>
      </c>
    </row>
    <row r="82">
      <c r="B82" s="21" t="n">
        <v>45363</v>
      </c>
      <c r="C82" t="inlineStr">
        <is>
          <t>N/A</t>
        </is>
      </c>
      <c r="D82" t="inlineStr">
        <is>
          <t>CO-OP GROUP FOOD       LONDON        GBR</t>
        </is>
      </c>
      <c r="E82" t="n">
        <v>2.9</v>
      </c>
    </row>
    <row r="83">
      <c r="B83" s="21" t="n">
        <v>45363</v>
      </c>
      <c r="C83" t="inlineStr">
        <is>
          <t>N/A</t>
        </is>
      </c>
      <c r="D83" t="inlineStr">
        <is>
          <t>Scott cruttenden</t>
        </is>
      </c>
      <c r="E83" t="n">
        <v>200</v>
      </c>
    </row>
    <row r="84">
      <c r="B84" s="21" t="n">
        <v>45363</v>
      </c>
      <c r="C84" t="inlineStr">
        <is>
          <t>N/A</t>
        </is>
      </c>
      <c r="D84" t="inlineStr">
        <is>
          <t>CO-OP GROUP FOOD       LONDON        GBR</t>
        </is>
      </c>
      <c r="E84" t="n">
        <v>11.6</v>
      </c>
    </row>
    <row r="85">
      <c r="D85" t="inlineStr">
        <is>
          <t>Total for Q2</t>
        </is>
      </c>
      <c r="E85" s="13">
        <f>SUM(E5:E84)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L51"/>
  <sheetViews>
    <sheetView showGridLines="0" showRowColHeaders="0" topLeftCell="A23" workbookViewId="0">
      <selection activeCell="G19" sqref="G19"/>
    </sheetView>
  </sheetViews>
  <sheetFormatPr baseColWidth="10" defaultColWidth="8.83203125" defaultRowHeight="15"/>
  <cols>
    <col width="10.33203125" customWidth="1" min="1" max="1"/>
    <col width="13.5" customWidth="1" min="2" max="2"/>
    <col width="10.6640625" customWidth="1" min="4" max="4"/>
    <col width="13.6640625" customWidth="1" min="5" max="5"/>
    <col width="15" customWidth="1" min="6" max="6"/>
    <col width="13.5" customWidth="1" min="7" max="7"/>
    <col width="13" customWidth="1" min="9" max="9"/>
    <col width="12.5" customWidth="1" min="11" max="11"/>
    <col width="13.5" customWidth="1" min="12" max="12"/>
    <col width="10" customWidth="1" min="13" max="13"/>
  </cols>
  <sheetData>
    <row r="1" ht="19" customHeight="1">
      <c r="A1" t="inlineStr">
        <is>
          <t>BELOW ARE THE ACCOUNTING CATEGORIES OF THE SELF-EMPLOYED FOR MAKING TAX DIGITAL QUARTERLY FILINGS.</t>
        </is>
      </c>
      <c r="E1" s="2" t="n"/>
      <c r="F1" s="3" t="n"/>
    </row>
    <row r="2">
      <c r="A2" s="10" t="inlineStr">
        <is>
          <t>PLEASE NOTE THAT IF YOU ARE ON A SPECIFIC TAX SCHEME, PLEASE COMPLETE THE BOXES IN ACCORDANCE WITH YOUR SCHEME RULES.</t>
        </is>
      </c>
      <c r="E2" s="4" t="n"/>
      <c r="F2" s="3" t="n"/>
    </row>
    <row r="3">
      <c r="A3" s="10" t="inlineStr">
        <is>
          <t>IF YOU ARE UNSURE WHICH FIGURES GO INTO WHICH BOX, OR HOW TO CALCULATE ANY AMOUNTS, PLEASE CONTACT HM REVENUE &amp; CUSTOMS OR ENGAGE AN ACCOUNTANT.</t>
        </is>
      </c>
      <c r="E3" s="4" t="n"/>
      <c r="F3" s="3" t="n"/>
      <c r="K3" s="7" t="n"/>
    </row>
    <row r="4">
      <c r="E4" s="5" t="n"/>
      <c r="F4" s="3" t="n"/>
      <c r="K4" s="7" t="n"/>
    </row>
    <row r="5" ht="21" customHeight="1">
      <c r="D5" s="11" t="inlineStr">
        <is>
          <t>QUARTERLY SELF-EMPLOYMENT FIGURES</t>
        </is>
      </c>
      <c r="E5" s="5" t="n"/>
    </row>
    <row r="6" ht="21" customHeight="1">
      <c r="A6" s="11" t="inlineStr">
        <is>
          <t>HMRC Taxable Profit For Filing:</t>
        </is>
      </c>
      <c r="D6" s="7" t="n"/>
      <c r="E6" s="22">
        <f>G49</f>
        <v/>
      </c>
      <c r="F6" s="23" t="n"/>
      <c r="I6" s="8" t="n"/>
      <c r="K6" s="8" t="n"/>
    </row>
    <row r="7" ht="21" customHeight="1">
      <c r="B7" s="11" t="n"/>
      <c r="D7" s="7" t="n"/>
      <c r="E7" s="5" t="n"/>
      <c r="G7" s="8" t="inlineStr">
        <is>
          <t>£</t>
        </is>
      </c>
      <c r="I7" s="8" t="inlineStr">
        <is>
          <t>£</t>
        </is>
      </c>
      <c r="K7" s="8" t="inlineStr">
        <is>
          <t>£</t>
        </is>
      </c>
    </row>
    <row r="8">
      <c r="E8" s="9" t="n"/>
      <c r="G8" s="9" t="inlineStr">
        <is>
          <t>ALLOWABLE</t>
        </is>
      </c>
      <c r="I8" s="9" t="inlineStr">
        <is>
          <t>DISALLOW</t>
        </is>
      </c>
      <c r="K8" s="9" t="inlineStr">
        <is>
          <t>TOTAL</t>
        </is>
      </c>
    </row>
    <row r="9">
      <c r="A9" s="6" t="inlineStr">
        <is>
          <t>INCOME</t>
        </is>
      </c>
      <c r="E9" s="9" t="n"/>
      <c r="G9" s="9" t="n"/>
      <c r="I9" s="9" t="n"/>
      <c r="K9" s="9" t="n"/>
    </row>
    <row r="10">
      <c r="A10" s="10" t="inlineStr">
        <is>
          <t>Sales</t>
        </is>
      </c>
      <c r="B10" s="8" t="n"/>
      <c r="C10" s="8" t="n"/>
      <c r="D10" s="8" t="n"/>
      <c r="E10" s="9" t="n"/>
      <c r="F10" s="9" t="n"/>
      <c r="G10" s="1">
        <f>Sales!E15</f>
        <v/>
      </c>
      <c r="K10" s="5">
        <f>G10</f>
        <v/>
      </c>
    </row>
    <row r="11" ht="8.25" customHeight="1">
      <c r="A11" s="10" t="n"/>
      <c r="B11" s="8" t="n"/>
      <c r="C11" s="8" t="n"/>
      <c r="D11" s="8" t="n"/>
      <c r="E11" s="9" t="n"/>
      <c r="F11" s="9" t="n"/>
      <c r="K11" s="5" t="n"/>
    </row>
    <row r="12">
      <c r="A12" t="inlineStr">
        <is>
          <t>Other Business Income</t>
        </is>
      </c>
      <c r="G12" s="1" t="n">
        <v>0</v>
      </c>
      <c r="K12" s="5">
        <f>G12</f>
        <v/>
      </c>
    </row>
    <row r="13" ht="15" customHeight="1">
      <c r="G13" s="5" t="n"/>
    </row>
    <row r="14">
      <c r="A14" s="6" t="inlineStr">
        <is>
          <t>Total Income</t>
        </is>
      </c>
      <c r="G14" s="3">
        <f>SUM(G10:G12)</f>
        <v/>
      </c>
      <c r="L14" s="14">
        <f>SUM(K10:K12)</f>
        <v/>
      </c>
    </row>
    <row r="16">
      <c r="A16" s="6" t="inlineStr">
        <is>
          <t>EXPENSES</t>
        </is>
      </c>
    </row>
    <row r="17">
      <c r="A17" t="inlineStr">
        <is>
          <t>Cost of Goods (PUT ALL EXPENSES HERE IF USING CONSOLIDATED EXPENSES)</t>
        </is>
      </c>
      <c r="G17" s="1">
        <f>Purchases!E9</f>
        <v/>
      </c>
      <c r="I17" s="1" t="n">
        <v>0</v>
      </c>
      <c r="K17" s="5">
        <f>G17+I17</f>
        <v/>
      </c>
    </row>
    <row r="18" ht="9" customHeight="1">
      <c r="K18" s="5" t="n"/>
    </row>
    <row r="19">
      <c r="A19" t="inlineStr">
        <is>
          <t>CIS Subcontractors</t>
        </is>
      </c>
      <c r="G19" s="1" t="n">
        <v>0</v>
      </c>
      <c r="I19" s="1" t="n">
        <v>0</v>
      </c>
      <c r="K19" s="5">
        <f>G19+I19</f>
        <v/>
      </c>
    </row>
    <row r="20" ht="8.25" customHeight="1">
      <c r="K20" s="5" t="n"/>
    </row>
    <row r="21">
      <c r="A21" t="inlineStr">
        <is>
          <t>Staff Costs</t>
        </is>
      </c>
      <c r="G21" s="1" t="n">
        <v>0</v>
      </c>
      <c r="I21" s="1" t="n">
        <v>0</v>
      </c>
      <c r="K21" s="5">
        <f>G21+I21</f>
        <v/>
      </c>
    </row>
    <row r="22" ht="9" customHeight="1">
      <c r="K22" s="5" t="n"/>
    </row>
    <row r="23">
      <c r="A23" t="inlineStr">
        <is>
          <t>Travel Costs</t>
        </is>
      </c>
      <c r="G23" s="1" t="n">
        <v>0</v>
      </c>
      <c r="I23" s="1" t="n">
        <v>0</v>
      </c>
      <c r="K23" s="5">
        <f>G23+I23</f>
        <v/>
      </c>
    </row>
    <row r="24" ht="9" customHeight="1">
      <c r="K24" s="5" t="n"/>
    </row>
    <row r="25">
      <c r="A25" t="inlineStr">
        <is>
          <t>Premises Costs</t>
        </is>
      </c>
      <c r="G25" s="1" t="n">
        <v>0</v>
      </c>
      <c r="I25" s="1" t="n">
        <v>0</v>
      </c>
      <c r="K25" s="5">
        <f>G25+I25</f>
        <v/>
      </c>
    </row>
    <row r="26" ht="8.25" customHeight="1">
      <c r="K26" s="5" t="n"/>
    </row>
    <row r="27">
      <c r="A27" t="inlineStr">
        <is>
          <t>Maintenance Costs</t>
        </is>
      </c>
      <c r="G27" s="1" t="n">
        <v>0</v>
      </c>
      <c r="I27" s="1" t="n">
        <v>0</v>
      </c>
      <c r="K27" s="5">
        <f>G27+I27</f>
        <v/>
      </c>
    </row>
    <row r="28" ht="7.5" customHeight="1">
      <c r="K28" s="5" t="n"/>
    </row>
    <row r="29">
      <c r="A29" t="inlineStr">
        <is>
          <t>Admin Costs</t>
        </is>
      </c>
      <c r="G29" s="1" t="n">
        <v>0</v>
      </c>
      <c r="I29" s="1" t="n">
        <v>0</v>
      </c>
      <c r="K29" s="5">
        <f>G29+I29</f>
        <v/>
      </c>
    </row>
    <row r="30" ht="8.25" customHeight="1">
      <c r="K30" s="5" t="n"/>
    </row>
    <row r="31">
      <c r="A31" t="inlineStr">
        <is>
          <t>Advertising Costs</t>
        </is>
      </c>
      <c r="G31" s="1" t="n">
        <v>0</v>
      </c>
      <c r="I31" s="1" t="n">
        <v>0</v>
      </c>
      <c r="K31" s="5">
        <f>G31+I31</f>
        <v/>
      </c>
    </row>
    <row r="32" ht="8.25" customHeight="1">
      <c r="K32" s="5" t="n"/>
    </row>
    <row r="33">
      <c r="A33" t="inlineStr">
        <is>
          <t>Entertainment Costs</t>
        </is>
      </c>
      <c r="G33" s="1" t="n">
        <v>0</v>
      </c>
      <c r="I33" s="1" t="n">
        <v>0</v>
      </c>
      <c r="K33" s="5">
        <f>G33+I33</f>
        <v/>
      </c>
    </row>
    <row r="34" ht="9" customHeight="1">
      <c r="K34" s="5" t="n"/>
    </row>
    <row r="35">
      <c r="A35" t="inlineStr">
        <is>
          <t>Interest Payments</t>
        </is>
      </c>
      <c r="G35" s="1" t="n">
        <v>0</v>
      </c>
      <c r="I35" s="1" t="n">
        <v>0</v>
      </c>
      <c r="K35" s="5">
        <f>G35+I35</f>
        <v/>
      </c>
    </row>
    <row r="36" ht="9" customHeight="1">
      <c r="K36" s="5" t="n"/>
    </row>
    <row r="37">
      <c r="A37" t="inlineStr">
        <is>
          <t>Finance Charges</t>
        </is>
      </c>
      <c r="G37" s="1" t="n">
        <v>0</v>
      </c>
      <c r="I37" s="1" t="n">
        <v>0</v>
      </c>
      <c r="K37" s="5">
        <f>G37+I37</f>
        <v/>
      </c>
    </row>
    <row r="38" ht="9" customHeight="1">
      <c r="K38" s="5" t="n"/>
    </row>
    <row r="39">
      <c r="A39" t="inlineStr">
        <is>
          <t>Bad Debts</t>
        </is>
      </c>
      <c r="G39" s="1" t="n">
        <v>0</v>
      </c>
      <c r="I39" s="1" t="n">
        <v>0</v>
      </c>
      <c r="K39" s="5">
        <f>G39+I39</f>
        <v/>
      </c>
    </row>
    <row r="40" ht="8.25" customHeight="1">
      <c r="K40" s="5" t="n"/>
    </row>
    <row r="41">
      <c r="A41" t="inlineStr">
        <is>
          <t>Professional Fees</t>
        </is>
      </c>
      <c r="G41" s="1" t="n">
        <v>0</v>
      </c>
      <c r="I41" s="1" t="n">
        <v>0</v>
      </c>
      <c r="K41" s="5">
        <f>G41+I41</f>
        <v/>
      </c>
    </row>
    <row r="42" ht="8.25" customHeight="1">
      <c r="K42" s="5" t="n"/>
    </row>
    <row r="43">
      <c r="A43" t="inlineStr">
        <is>
          <t>Depreciation</t>
        </is>
      </c>
      <c r="G43" s="1" t="n">
        <v>0</v>
      </c>
      <c r="I43" s="1" t="n">
        <v>0</v>
      </c>
      <c r="K43" s="5">
        <f>G43+I43</f>
        <v/>
      </c>
    </row>
    <row r="44" ht="7.5" customHeight="1">
      <c r="K44" s="5" t="n"/>
    </row>
    <row r="45">
      <c r="A45" t="inlineStr">
        <is>
          <t>Other Expenses</t>
        </is>
      </c>
      <c r="G45" s="1" t="n">
        <v>0</v>
      </c>
      <c r="I45" s="1" t="n">
        <v>0</v>
      </c>
      <c r="K45" s="5">
        <f>G45+I45</f>
        <v/>
      </c>
    </row>
    <row r="46" ht="8.25" customHeight="1">
      <c r="G46" s="5" t="n"/>
      <c r="I46" s="5" t="n"/>
      <c r="K46" s="5" t="n"/>
    </row>
    <row r="47">
      <c r="A47" s="6" t="inlineStr">
        <is>
          <t>Total Expenses</t>
        </is>
      </c>
      <c r="G47" s="3">
        <f>SUM(G17:G45)</f>
        <v/>
      </c>
      <c r="I47" s="3">
        <f>SUM(I17:I45)</f>
        <v/>
      </c>
      <c r="K47" s="5" t="n"/>
    </row>
    <row r="48" ht="16" customHeight="1" thickBot="1">
      <c r="L48" s="14">
        <f>-SUM(K17:K45)</f>
        <v/>
      </c>
    </row>
    <row r="49" ht="16" customHeight="1" thickTop="1">
      <c r="A49" s="6" t="inlineStr">
        <is>
          <t>TAXABLE PROFIT, PER HMRC SUBMISSION TOTAL:</t>
        </is>
      </c>
      <c r="G49" s="13">
        <f>G14-G47</f>
        <v/>
      </c>
      <c r="I49" s="5" t="n"/>
    </row>
    <row r="50" ht="16" customHeight="1" thickBot="1"/>
    <row r="51" ht="16" customHeight="1" thickTop="1">
      <c r="A51" t="inlineStr">
        <is>
          <t>BUSINESS NET-PROFIT (FOR YOURE REFERENCE ONLY)</t>
        </is>
      </c>
      <c r="L51" s="12">
        <f>L14+L48</f>
        <v/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yiAuHkybmjPpPSkP4jT3Ow==" formatRows="1" sort="1" spinCount="100000" hashValue="kxkNpB64gNCVovFqAB8jpBT1NIrSHacR4NW6by/yHP8X5BLDdKZX/kzinXSGx9BqiK6iDfd3FsVLWXT+ZO3EaA=="/>
  <mergeCells count="1">
    <mergeCell ref="E6:F6"/>
  </mergeCells>
  <pageMargins left="0.7" right="0.7" top="0.75" bottom="0.75" header="0.3" footer="0.3"/>
  <pageSetup orientation="landscape" paperSize="9" scale="73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</dc:creator>
  <dcterms:created xsi:type="dcterms:W3CDTF">2019-01-20T15:55:44Z</dcterms:created>
  <dcterms:modified xsi:type="dcterms:W3CDTF">2026-03-02T19:15:59Z</dcterms:modified>
  <cp:lastModifiedBy>Tony Santos</cp:lastModifiedBy>
  <cp:lastPrinted>2022-01-03T14:01:14Z</cp:lastPrinted>
</cp:coreProperties>
</file>